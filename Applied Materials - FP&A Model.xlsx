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nitis\Downloads\Resume\Portfolio\"/>
    </mc:Choice>
  </mc:AlternateContent>
  <xr:revisionPtr revIDLastSave="0" documentId="13_ncr:1_{C318FEFF-80DF-4AB4-B238-C13D9512AF76}" xr6:coauthVersionLast="47" xr6:coauthVersionMax="47" xr10:uidLastSave="{00000000-0000-0000-0000-000000000000}"/>
  <bookViews>
    <workbookView xWindow="-108" yWindow="-108" windowWidth="23256" windowHeight="12456" activeTab="2" xr2:uid="{00000000-000D-0000-FFFF-FFFF00000000}"/>
  </bookViews>
  <sheets>
    <sheet name="Name" sheetId="12" r:id="rId1"/>
    <sheet name="Instructions" sheetId="13" r:id="rId2"/>
    <sheet name="Write-Up" sheetId="11" r:id="rId3"/>
    <sheet name="Percentage of Sales" sheetId="10" r:id="rId4"/>
    <sheet name="Ratios &amp; FCF" sheetId="9" r:id="rId5"/>
    <sheet name="Consolidated Statements of Oper" sheetId="2" r:id="rId6"/>
    <sheet name="Consolidated Balance Sheets" sheetId="4" r:id="rId7"/>
    <sheet name="Consolidated Balance Sheets (Pa" sheetId="5" r:id="rId8"/>
    <sheet name="Consolidated Statements of Cash" sheetId="8" r:id="rId9"/>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9" l="1"/>
  <c r="D26" i="9"/>
  <c r="G57" i="10"/>
  <c r="G48" i="10"/>
  <c r="G47" i="10"/>
  <c r="G46" i="10"/>
  <c r="G45" i="10"/>
  <c r="G44" i="10"/>
  <c r="G43" i="10"/>
  <c r="G42" i="10"/>
  <c r="G40" i="10"/>
  <c r="G39" i="10"/>
  <c r="G38" i="10"/>
  <c r="G37" i="10"/>
  <c r="G36" i="10"/>
  <c r="G35" i="10"/>
  <c r="G34" i="10"/>
  <c r="G33" i="10"/>
  <c r="G32" i="10"/>
  <c r="G31" i="10"/>
  <c r="G30" i="10"/>
  <c r="G29" i="10"/>
  <c r="E57" i="10"/>
  <c r="E48" i="10"/>
  <c r="E47" i="10"/>
  <c r="E46" i="10"/>
  <c r="E45" i="10"/>
  <c r="E44" i="10"/>
  <c r="E43" i="10"/>
  <c r="E42" i="10"/>
  <c r="E40" i="10"/>
  <c r="E39" i="10"/>
  <c r="E38" i="10"/>
  <c r="E37" i="10"/>
  <c r="E36" i="10"/>
  <c r="E35" i="10"/>
  <c r="E34" i="10"/>
  <c r="E33" i="10"/>
  <c r="E32" i="10"/>
  <c r="E31" i="10"/>
  <c r="E30" i="10"/>
  <c r="E29" i="10"/>
  <c r="G18" i="10"/>
  <c r="G17" i="10"/>
  <c r="G16" i="10"/>
  <c r="G15" i="10"/>
  <c r="G14" i="10"/>
  <c r="G13" i="10"/>
  <c r="G12" i="10"/>
  <c r="G11" i="10"/>
  <c r="G10" i="10"/>
  <c r="G9" i="10"/>
  <c r="G7" i="10"/>
  <c r="G6" i="10"/>
  <c r="G5" i="10"/>
  <c r="E18" i="10"/>
  <c r="E17" i="10"/>
  <c r="E16" i="10"/>
  <c r="E15" i="10"/>
  <c r="E14" i="10"/>
  <c r="E13" i="10"/>
  <c r="E12" i="10"/>
  <c r="E11" i="10"/>
  <c r="E10" i="10"/>
  <c r="E9" i="10"/>
  <c r="E7" i="10"/>
  <c r="E6" i="10"/>
  <c r="E5" i="10"/>
  <c r="E143" i="9"/>
  <c r="E144" i="9"/>
  <c r="E145" i="9"/>
  <c r="D143" i="9"/>
  <c r="D144" i="9"/>
  <c r="D145" i="9"/>
  <c r="E124" i="9"/>
  <c r="D124" i="9"/>
  <c r="E136" i="9"/>
  <c r="D136" i="9"/>
  <c r="E129" i="9"/>
  <c r="D129" i="9"/>
  <c r="E134" i="9"/>
  <c r="D134" i="9"/>
  <c r="E133" i="9"/>
  <c r="D133" i="9"/>
  <c r="E130" i="9"/>
  <c r="D130" i="9"/>
  <c r="E128" i="9"/>
  <c r="D128" i="9"/>
  <c r="E127" i="9"/>
  <c r="D127" i="9"/>
  <c r="E138" i="9"/>
  <c r="D138" i="9"/>
  <c r="E137" i="9"/>
  <c r="D137" i="9"/>
  <c r="E132" i="9"/>
  <c r="D132" i="9"/>
  <c r="E125" i="9"/>
  <c r="D125" i="9"/>
  <c r="E123" i="9"/>
  <c r="D123" i="9"/>
  <c r="E122" i="9"/>
  <c r="D122" i="9"/>
  <c r="E120" i="9"/>
  <c r="D120" i="9"/>
  <c r="E119" i="9"/>
  <c r="D119" i="9"/>
</calcChain>
</file>

<file path=xl/sharedStrings.xml><?xml version="1.0" encoding="utf-8"?>
<sst xmlns="http://schemas.openxmlformats.org/spreadsheetml/2006/main" count="539" uniqueCount="294">
  <si>
    <t>12 Months Ended</t>
  </si>
  <si>
    <t>Oct. 28, 2018</t>
  </si>
  <si>
    <t>Consolidated Statements of Operations - USD ($) shares in Millions, $ in Millions</t>
  </si>
  <si>
    <t>Oct. 29, 2017</t>
  </si>
  <si>
    <t>Oct. 30, 2016</t>
  </si>
  <si>
    <t>Income Statement [Abstract]</t>
  </si>
  <si>
    <t>Net sales</t>
  </si>
  <si>
    <t>Cost of products sold</t>
  </si>
  <si>
    <t>Gross profit</t>
  </si>
  <si>
    <t>Operating expenses:</t>
  </si>
  <si>
    <t>Research, development and engineering</t>
  </si>
  <si>
    <t>Marketing and selling</t>
  </si>
  <si>
    <t>General and administrative</t>
  </si>
  <si>
    <t>Total operating expenses</t>
  </si>
  <si>
    <t>Income from operations</t>
  </si>
  <si>
    <t>Interest expense</t>
  </si>
  <si>
    <t>Interest and other income, net</t>
  </si>
  <si>
    <t>Income before income taxes</t>
  </si>
  <si>
    <t>Provision for income taxes</t>
  </si>
  <si>
    <t>Net income</t>
  </si>
  <si>
    <t>Earnings per share:</t>
  </si>
  <si>
    <t>Basic (in dollars per share)</t>
  </si>
  <si>
    <t>Diluted (in dollars per share)</t>
  </si>
  <si>
    <t>Weighted average number of shares:</t>
  </si>
  <si>
    <t>Basic (in shares)</t>
  </si>
  <si>
    <t>Diluted (in shares)</t>
  </si>
  <si>
    <t>Consolidated Balance Sheets - USD ($) $ in Millions</t>
  </si>
  <si>
    <t>Current assets:</t>
  </si>
  <si>
    <t>Cash and cash equivalents</t>
  </si>
  <si>
    <t>Short-term investments</t>
  </si>
  <si>
    <t>Accounts receivable, net</t>
  </si>
  <si>
    <t>Inventories</t>
  </si>
  <si>
    <t>Other current assets</t>
  </si>
  <si>
    <t>Total current assets</t>
  </si>
  <si>
    <t>Long-term investments</t>
  </si>
  <si>
    <t>Property, plant and equipment, net</t>
  </si>
  <si>
    <t>Goodwill</t>
  </si>
  <si>
    <t>Purchased technology and other intangible assets, net</t>
  </si>
  <si>
    <t>Deferred income taxes and other assets</t>
  </si>
  <si>
    <t>Total assets</t>
  </si>
  <si>
    <t>Current liabilities:</t>
  </si>
  <si>
    <t>Accounts payable and accrued expenses</t>
  </si>
  <si>
    <t>Customer deposits and deferred revenue</t>
  </si>
  <si>
    <t>Total current liabilities</t>
  </si>
  <si>
    <t>Long-term debt</t>
  </si>
  <si>
    <t>Income taxes payable</t>
  </si>
  <si>
    <t>Other liabilities</t>
  </si>
  <si>
    <t>Total liabilities</t>
  </si>
  <si>
    <t>Commitments and contingencies (Note 14)</t>
  </si>
  <si>
    <t xml:space="preserve"> </t>
  </si>
  <si>
    <t>Stockholders’ equity:</t>
  </si>
  <si>
    <t>Preferred stock: $.01 par value per share; 1 shares authorized; no shares issued</t>
  </si>
  <si>
    <t>Common stock: $.01 par value per share; 2,500 shares authorized; 967 and 1,060 shares outstanding at 2018 and 2017, respectively</t>
  </si>
  <si>
    <t>Additional paid-in capital</t>
  </si>
  <si>
    <t>Retained earnings</t>
  </si>
  <si>
    <t>Treasury stock: 1,019 and 917 shares at 2018 and 2017, respectively</t>
  </si>
  <si>
    <t>Accumulated other comprehensive loss</t>
  </si>
  <si>
    <t>Total stockholders’ equity</t>
  </si>
  <si>
    <t>Total liabilities and stockholders’ equity</t>
  </si>
  <si>
    <t>Consolidated Balance Sheets (Parenthetical) - $ / shares</t>
  </si>
  <si>
    <t>Preferred stock, par value per share (in dollars per share)</t>
  </si>
  <si>
    <t>Preferred stock, shares authorized</t>
  </si>
  <si>
    <t>Preferred stock, shares issued</t>
  </si>
  <si>
    <t>Common stock, par value per share (in dollars per share)</t>
  </si>
  <si>
    <t>Common stock, shares authorized</t>
  </si>
  <si>
    <t>Common stock, shares outstanding</t>
  </si>
  <si>
    <t>Treasury stock, shares</t>
  </si>
  <si>
    <t>Share-based compensation</t>
  </si>
  <si>
    <t>Common stock repurchases</t>
  </si>
  <si>
    <t>Consolidated Statements of Cash Flows - USD ($) $ in Millions</t>
  </si>
  <si>
    <t>Cash flows from operating activities:</t>
  </si>
  <si>
    <t>Adjustments required to reconcile net income to cash provided by operating activities:</t>
  </si>
  <si>
    <t>Depreciation and amortization</t>
  </si>
  <si>
    <t>Deferred income taxes</t>
  </si>
  <si>
    <t>Other</t>
  </si>
  <si>
    <t>Changes in operating assets and liabilities, net of amounts acquired:</t>
  </si>
  <si>
    <t>Accounts receivable</t>
  </si>
  <si>
    <t>Other current and non-current assets</t>
  </si>
  <si>
    <t>Cash provided by operating activities</t>
  </si>
  <si>
    <t>Cash flows from investing activities:</t>
  </si>
  <si>
    <t>Capital expenditures</t>
  </si>
  <si>
    <t>Cash paid for acquisitions, net of cash acquired</t>
  </si>
  <si>
    <t>Proceeds from sales and maturities of investments</t>
  </si>
  <si>
    <t>Purchases of investments</t>
  </si>
  <si>
    <t>Cash provided by (used in) investing activities</t>
  </si>
  <si>
    <t>Cash flows from financing activities:</t>
  </si>
  <si>
    <t>Debt borrowings, net of issuance costs</t>
  </si>
  <si>
    <t>Debt repayments</t>
  </si>
  <si>
    <t>Proceeds from common stock issuances</t>
  </si>
  <si>
    <t>Tax withholding payments for vested equity awards</t>
  </si>
  <si>
    <t>Payments of dividends to stockholders</t>
  </si>
  <si>
    <t>Cash provided by (used in) financing activities</t>
  </si>
  <si>
    <t>Increase (decrease) in cash and cash equivalents</t>
  </si>
  <si>
    <t>Cash and cash equivalents — beginning of year</t>
  </si>
  <si>
    <t>Cash and cash equivalents — end of year</t>
  </si>
  <si>
    <t>Supplemental cash flow information:</t>
  </si>
  <si>
    <t>Cash payments for income taxes</t>
  </si>
  <si>
    <t>Cash refunds from income taxes</t>
  </si>
  <si>
    <t>Cash payments for interest</t>
  </si>
  <si>
    <t>Income taxes payable **</t>
  </si>
  <si>
    <t>** Note: The company separated income taxes payable from Other liabilities in FY 2018. Prior to FY2018, Income taxes payable was part of Other liabilities</t>
  </si>
  <si>
    <t>Common stock, share price at the end of fiscal year</t>
  </si>
  <si>
    <t xml:space="preserve">Financial Ratios </t>
  </si>
  <si>
    <t>Liquidity</t>
  </si>
  <si>
    <t>Current Ratio</t>
  </si>
  <si>
    <t>Quick Ratio</t>
  </si>
  <si>
    <t>Solvency</t>
  </si>
  <si>
    <t>Total debt ratio</t>
  </si>
  <si>
    <t>Long-term debt ratio</t>
  </si>
  <si>
    <t>Debt-equity ratio</t>
  </si>
  <si>
    <t>Times interest earned</t>
  </si>
  <si>
    <t>Profitability</t>
  </si>
  <si>
    <t>Profit margin</t>
  </si>
  <si>
    <t>ROA</t>
  </si>
  <si>
    <t>ROE</t>
  </si>
  <si>
    <t>Market Value</t>
  </si>
  <si>
    <t>P/E</t>
  </si>
  <si>
    <t>Market-to-book</t>
  </si>
  <si>
    <t>Tobin's Q</t>
  </si>
  <si>
    <t>Turnover</t>
  </si>
  <si>
    <t>Inventory turnover</t>
  </si>
  <si>
    <t>Receivable turnover</t>
  </si>
  <si>
    <t>Fixed asset turnover</t>
  </si>
  <si>
    <t>Total asset turnover</t>
  </si>
  <si>
    <t>Total Current Assets / Total Current Liabilities</t>
  </si>
  <si>
    <t>(Total Current Assets - Inventories) / Total Current Liabilities</t>
  </si>
  <si>
    <t>(Total Assets - Total Stockholders' Equity) / Total Assets</t>
  </si>
  <si>
    <t>Long-Term Debt / (Long-Term Debt + Total Stockholders' Equity)</t>
  </si>
  <si>
    <t>(Total Assets - Total Stockholders' Equity) / Total Stockholders' Equity</t>
  </si>
  <si>
    <t>Income from Operations / Interest Expense</t>
  </si>
  <si>
    <t>Cost of Products Sold / Average Inventories</t>
  </si>
  <si>
    <t>Net Sales / Average Net Accounts Receivable</t>
  </si>
  <si>
    <t>Net Sales / Average Net Property, Plant, and Equipment</t>
  </si>
  <si>
    <t>Net Sales / Average Total Assets</t>
  </si>
  <si>
    <t>Net Income / Net Sales</t>
  </si>
  <si>
    <t>Net Income / Average Total Assets</t>
  </si>
  <si>
    <t>Net Income / Average Total Stockholders' Equity</t>
  </si>
  <si>
    <t>(Common Stock, Share Price at end of Fiscal Year) / (Diluted Earnings Per Share)</t>
  </si>
  <si>
    <t>Common Stock, Share Price at end of Fiscal Year / (Total Stockholders' Equity / Common Stock Shares Outstanding)</t>
  </si>
  <si>
    <t>Formulas</t>
  </si>
  <si>
    <t>((Common Stock Shares Outstanding * Common Stock, Share Price at end of FY) + (Total Assets - Total Stockholders' Equity)) / (Total Assets)</t>
  </si>
  <si>
    <t>Free Cash Flows</t>
  </si>
  <si>
    <t>Operating Cash Flow</t>
  </si>
  <si>
    <t>Capital Expenditures</t>
  </si>
  <si>
    <t>FCF</t>
  </si>
  <si>
    <t>Notes</t>
  </si>
  <si>
    <t>Operating Cash Flow accounts for Depreciation and Change in NWC</t>
  </si>
  <si>
    <t>Obtained from Consolidated Statement of Cash Flows</t>
  </si>
  <si>
    <t>Free Cash Flows = Operating Cash Flow - Capital Expenditures</t>
  </si>
  <si>
    <t>2017 % of Sales</t>
  </si>
  <si>
    <t>2018 % of Sales</t>
  </si>
  <si>
    <t>Denominator for Percentage of Sales approach</t>
  </si>
  <si>
    <t>Stable at roughly 55%</t>
  </si>
  <si>
    <t>Stable at roughly 12%</t>
  </si>
  <si>
    <t>Stable at roughly 3%</t>
  </si>
  <si>
    <t>Appropriate for % of Sales?</t>
  </si>
  <si>
    <t>Yes</t>
  </si>
  <si>
    <t>No</t>
  </si>
  <si>
    <t>Interest &amp; other income is not sales-driven</t>
  </si>
  <si>
    <t>Formula (Income from Operations - Int. Expense + Int. &amp; Other Income)</t>
  </si>
  <si>
    <t>Forecasted through average debt, not sales</t>
  </si>
  <si>
    <t>Formula (Gross Profit - Total Operating Expenses)</t>
  </si>
  <si>
    <t>Formula (Net Sales - Cost of Products Sold)</t>
  </si>
  <si>
    <t>Formula (R&amp;D + Marketing &amp; Selling + G&amp;A)</t>
  </si>
  <si>
    <t>Should be driven through a cash flow statement, not sales</t>
  </si>
  <si>
    <t>Non-operating asset, not driven through sales</t>
  </si>
  <si>
    <t>Operating asset; stable at roughly 15-16%</t>
  </si>
  <si>
    <t>Operating asset; stable at roughly 20-22%</t>
  </si>
  <si>
    <t>Formula (Cash + ST Inv. + Acc Rec. + Inv. + OCA)</t>
  </si>
  <si>
    <t>Held constant unless there is M&amp;A; not driven through sales</t>
  </si>
  <si>
    <t>Intangible assets driven through amortization schedule</t>
  </si>
  <si>
    <t>Stable at roughly 7-8%; should be driven through long-term strategic needs</t>
  </si>
  <si>
    <t>Tax-driven, not sales-driven</t>
  </si>
  <si>
    <t>Formula</t>
  </si>
  <si>
    <t>Stable at 16-17%</t>
  </si>
  <si>
    <t>Deferred Revenue should not be driven through sales (earned revenue)</t>
  </si>
  <si>
    <t>Formula (Acc. Payable + Cust Dep. &amp; Deferred Revenue)</t>
  </si>
  <si>
    <t>Driven through debt schedule, not sales</t>
  </si>
  <si>
    <t>Driven through pre-tax income, not sales</t>
  </si>
  <si>
    <t>Formula (Total Curr. Liab. + LT Debt + Income Tax Payable + Other Liab.)</t>
  </si>
  <si>
    <t>Stable at roughly 1.8%; largely non-operating liability</t>
  </si>
  <si>
    <t>Formula (Pref + Common + Paid-In Capital + Ret Earnings + Treasury + Accum)</t>
  </si>
  <si>
    <t>Solutions</t>
  </si>
  <si>
    <t>1) Financial Ratios</t>
  </si>
  <si>
    <t>Current Ratio: 3.14 (2017); 2.64 (2018)</t>
  </si>
  <si>
    <t>Quick Ratio: 2.43 (2017); 1.73 (2018)</t>
  </si>
  <si>
    <t>Total Debt Ratio: 51.9% (2017); 61.5% (2018)</t>
  </si>
  <si>
    <t>Long-Term Debt Ratio: 36.2% (2017); 43.7% (2018)</t>
  </si>
  <si>
    <t>Debt-Equity Ratio: 1.08 (2017); 1.60 (2018)</t>
  </si>
  <si>
    <t>Times Interest Earned: 19.54 (2017); 20.50 (2018)</t>
  </si>
  <si>
    <t>Inventory Turnover: 3.21 (2017); 2.84 (2018)</t>
  </si>
  <si>
    <t>Receivable Turnover: 6.30 (2017); 7.04 (2018)</t>
  </si>
  <si>
    <t>Fixed Asset Turnover: 14.52 (2017); 13.95 (2018)</t>
  </si>
  <si>
    <t>Total Asset Turnover: 0.86 (2017); 0.93 (2018)</t>
  </si>
  <si>
    <t>Profit Margin: 23.6% (2017); 19.2% (2018)</t>
  </si>
  <si>
    <t>ROA: 20.2% (2017); 17.8% (2018)</t>
  </si>
  <si>
    <t>ROE: 41.5% (2017); 40.9% (2018)</t>
  </si>
  <si>
    <t>P/E: 17.80 (2017); 10.18 (2018)</t>
  </si>
  <si>
    <t>Market-to-Book: 6.40 (2017); 4.65 (2018)</t>
  </si>
  <si>
    <t>Tobin's Q: 3.60 (2017); 2.40 (2018)</t>
  </si>
  <si>
    <t>2) Financial Health</t>
  </si>
  <si>
    <t>An $862M increase in Income Taxes Payable drove debt up, but the company also repurchased $5.28B in Treasury stock (latter drives up debt-equity ratio from 1.08 to 1.60).</t>
  </si>
  <si>
    <t>Despite marginally declining ratios, profitability is high and trends positively.</t>
  </si>
  <si>
    <t>3) Free Cash Flows</t>
  </si>
  <si>
    <t>2017: $3,444,000,000</t>
  </si>
  <si>
    <t>2018: $3,165,000,000</t>
  </si>
  <si>
    <t xml:space="preserve">Applied Materials generated strong FCF of $3.44B in 2017 and $3.17B in 2018. </t>
  </si>
  <si>
    <t>This modest decline resulted from a $277M increase in Capital Expenditures, offsetting otherwise consistent operating cash flows.</t>
  </si>
  <si>
    <t>FCF Margin compressed from 23.7% in 2017 to 18.3% in 2018, falling just below the semiconductor's industry benchmark range of 20% to 30%.</t>
  </si>
  <si>
    <t>Overall, the company is not financially constrained as its FCFs are healthy enough to be used for investing needs and financing needs.</t>
  </si>
  <si>
    <t>4) Percentage of Sales</t>
  </si>
  <si>
    <t>Appropriate Items</t>
  </si>
  <si>
    <t>Inappropriate Items</t>
  </si>
  <si>
    <t>Formula (calculated using corporate tax rate, not sales)</t>
  </si>
  <si>
    <t>Formula (Income before income taxes - Provision for income taxes)</t>
  </si>
  <si>
    <t>Stable at roughly 2.5-2.6%; represent prepaid fixed costs</t>
  </si>
  <si>
    <t>Findings</t>
  </si>
  <si>
    <t>Yes, the findings are consistent with my understanding of the company's strategy.</t>
  </si>
  <si>
    <t>Cost of products sold and operating  expenses should be forecasted as a % of sales, scaling the latter three (R&amp;D, Marketing, G&amp;A) downward to expand operating leverage.</t>
  </si>
  <si>
    <t>Model PP&amp;E via CapEx /depreciation schedules and Interest Expense via debt schedules, aligning with the firm's investing and financing needs.</t>
  </si>
  <si>
    <t>5) Key Drivers / FP&amp;A Sensitivity Analysis</t>
  </si>
  <si>
    <t>Name</t>
  </si>
  <si>
    <t>Nitish Verma</t>
  </si>
  <si>
    <t>Sensitivity Analysis and Scenario Planning</t>
  </si>
  <si>
    <t>Monitor internal project demand vs lab capacity.</t>
  </si>
  <si>
    <t>Sensitivity Analysis</t>
  </si>
  <si>
    <t>Scenario Planning</t>
  </si>
  <si>
    <t>Does META'S existing semiconductor technology become obsolete with the advent of Artificial Intelligence (AI)?</t>
  </si>
  <si>
    <t>The FCF margin contraction was primarily driven by a $607M net cash flow decline in customer deposits and deferred revenue.</t>
  </si>
  <si>
    <t>Overall, the company remains solvent over the long term with an improved times interest earned ratio despite the elevated total debt and debt-equity ratios.</t>
  </si>
  <si>
    <t>Key Drivers for Future Performance of Meta</t>
  </si>
  <si>
    <t>Distinguish customers: Internal R&amp;D customers vs external partners utilizing chip manufacturing within META.</t>
  </si>
  <si>
    <t>Is Applied Materials meeting the full $600M META investment milestone required by the $250M New York grant?</t>
  </si>
  <si>
    <t>Cost of products sold: Stable growth rate (55%).</t>
  </si>
  <si>
    <t>Research, development and engineering: Stable growth rate (12%).</t>
  </si>
  <si>
    <t>Marketing and selling: Stable growth rate (3%).</t>
  </si>
  <si>
    <t>General and administrative: Stable growth rate (3%).</t>
  </si>
  <si>
    <t>Accounts receivable, net: Operating asset with stable growth rate (15-16%).</t>
  </si>
  <si>
    <t>Inventories: Operating asset with stable growth rate (20-22%).</t>
  </si>
  <si>
    <t>Accounts payable and accrued expenses: Operating asset with stable growth rate (16-17%).</t>
  </si>
  <si>
    <t>Interest expense: Driven by average debt, not sales.</t>
  </si>
  <si>
    <t>Interest and other income, net: Interest income is not sales-driven.</t>
  </si>
  <si>
    <t>Cash and cash equivalents: Driven through cash flow statement, not sales.</t>
  </si>
  <si>
    <t>Short-term investments: Non-operating assets are not driven by sales.</t>
  </si>
  <si>
    <t>Other current assets: Represent prepaid fixed costs; not driven by sales.</t>
  </si>
  <si>
    <t>Long-term investments: Non-operating assets are not driven by sales.</t>
  </si>
  <si>
    <t>Property, plant and equipment, net: Driven by long-term strategy needs; forecasted through depreciation/CapEx schedule.</t>
  </si>
  <si>
    <t>Goodwill: Held constant unless there is M&amp;A; not driven through sales.</t>
  </si>
  <si>
    <t>Purchased technology and other intangible assets, net: Intangible assets are driven through amortization schedule.</t>
  </si>
  <si>
    <t>Deferred income taxes and other assets: Tax-driven, not sales-driven.</t>
  </si>
  <si>
    <t>Customer deposits and deferred revenue: Deferred (unearned) revenue should not be driven through earned revenue (sales).</t>
  </si>
  <si>
    <t>Long-term debt: Driven through debt schedule, not sales.</t>
  </si>
  <si>
    <t>Income taxes payable: Driven through pre-tax income, not sales.</t>
  </si>
  <si>
    <t>Other liabilities: Largely a non-operating liability (so not driven by sales).</t>
  </si>
  <si>
    <t>The three biggest drivers of declining current and quick ratios are a $1.57B reduction in Cash, a $1.68B reduction in Short-term Investments, and a $792M increase in Inventories.</t>
  </si>
  <si>
    <t>Overall, liquidity trends in a positive direction (current and quick ratio remain substantially above 1.0).</t>
  </si>
  <si>
    <t>Inventory turnover softens in 2018 because Inventory (27.0%) grows faster than Cost of Products Sold (17.9%); firm clears inventory within 129 days and collects credit sales within 52 days.</t>
  </si>
  <si>
    <t>ROA declines to 17.8% because average assets increase (9.42%) at a bigger rate than net income declines by; ROE does same since net income declines (3.52%) faster than average SE (1.14%).</t>
  </si>
  <si>
    <t>P/E sharply declines from 17.80 to 10.18 due to a sharp reduction (41.7%) in common stock share price at the end of fiscal year; Market-to-Book reduction driven by firm repurchasing Treasury stock.</t>
  </si>
  <si>
    <t>Overall, turnover is directionally healthy with the exception of inventory (needs to clear inventory much faster than 129 days).</t>
  </si>
  <si>
    <t>R&amp;D expenditures should yield new product launches after META investment; G&amp;A will capture back-office support, state incentives, travel, and insurance.</t>
  </si>
  <si>
    <t>PP&amp;E to track the $600M investment over 7 years; Depreciation will track value loss of high-tech tangible assets.</t>
  </si>
  <si>
    <t>Long-term investments will record the capital that META Center provides to promising startups across New York.</t>
  </si>
  <si>
    <t>Drivers to Monitor for Applied Materials</t>
  </si>
  <si>
    <t>Worst-Case: Significantly high R&amp;D expenditures lead to low patent volume; company exhausts cash reserves and pivots to external financing.</t>
  </si>
  <si>
    <t>Best-Case: The META Center generates 10K+ jobs and a thriving startup ecosystem; patent output boosts net income and profitability margins.</t>
  </si>
  <si>
    <t>A/R, A/P, and Inventories should scale with revenue.</t>
  </si>
  <si>
    <t>Despite an unfavorable decline in market value, this likely reflects industry trends. Overall, market value ratios should maintain a healthy long-term trajectory.</t>
  </si>
  <si>
    <r>
      <t xml:space="preserve">A) </t>
    </r>
    <r>
      <rPr>
        <i/>
        <sz val="12"/>
        <color rgb="FF0070C0"/>
        <rFont val="Calibri"/>
        <family val="2"/>
        <scheme val="minor"/>
      </rPr>
      <t>Liquidity</t>
    </r>
  </si>
  <si>
    <r>
      <t xml:space="preserve">B) </t>
    </r>
    <r>
      <rPr>
        <i/>
        <sz val="12"/>
        <color rgb="FF0070C0"/>
        <rFont val="Calibri"/>
        <family val="2"/>
        <scheme val="minor"/>
      </rPr>
      <t>Solvency</t>
    </r>
  </si>
  <si>
    <r>
      <t xml:space="preserve">C) </t>
    </r>
    <r>
      <rPr>
        <i/>
        <sz val="12"/>
        <color rgb="FF0070C0"/>
        <rFont val="Calibri"/>
        <family val="2"/>
        <scheme val="minor"/>
      </rPr>
      <t>Turnover</t>
    </r>
  </si>
  <si>
    <r>
      <t xml:space="preserve">D) </t>
    </r>
    <r>
      <rPr>
        <i/>
        <sz val="12"/>
        <color rgb="FF0070C0"/>
        <rFont val="Calibri"/>
        <family val="2"/>
        <scheme val="minor"/>
      </rPr>
      <t>Profitability</t>
    </r>
  </si>
  <si>
    <r>
      <t xml:space="preserve">E) </t>
    </r>
    <r>
      <rPr>
        <i/>
        <sz val="12"/>
        <color rgb="FF0070C0"/>
        <rFont val="Calibri"/>
        <family val="2"/>
        <scheme val="minor"/>
      </rPr>
      <t>Market Value</t>
    </r>
  </si>
  <si>
    <r>
      <rPr>
        <b/>
        <sz val="12"/>
        <color theme="1"/>
        <rFont val="Calibri"/>
        <family val="2"/>
        <scheme val="minor"/>
      </rPr>
      <t>Note</t>
    </r>
    <r>
      <rPr>
        <sz val="12"/>
        <color theme="1"/>
        <rFont val="Calibri"/>
        <family val="2"/>
        <scheme val="minor"/>
      </rPr>
      <t>: In corporate finance, the industry standard is to calculate P/E using diluted EPS.</t>
    </r>
  </si>
  <si>
    <r>
      <rPr>
        <b/>
        <sz val="12"/>
        <color theme="1"/>
        <rFont val="Calibri"/>
        <family val="2"/>
        <scheme val="minor"/>
      </rPr>
      <t>Note</t>
    </r>
    <r>
      <rPr>
        <sz val="12"/>
        <color theme="1"/>
        <rFont val="Calibri"/>
        <family val="2"/>
        <scheme val="minor"/>
      </rPr>
      <t>: This aligns with Applied Materials' 2018 YOY growth of 32% in PP&amp;E and 80% in CapEx.</t>
    </r>
  </si>
  <si>
    <t>Instructions</t>
  </si>
  <si>
    <t xml:space="preserve">The time is 2018, and you just joined the FP&amp;A team at Applied Materials. </t>
  </si>
  <si>
    <t>You are studying the financial statements of the company and contemplating the company's recent announcement of META Center.</t>
  </si>
  <si>
    <t>Questions</t>
  </si>
  <si>
    <t>1. Compute the following financial ratios for 2017 and 2018:</t>
  </si>
  <si>
    <t>A. Liquidity ratios: Current ratio and Quick ratio</t>
  </si>
  <si>
    <t>B. Solvency ratios: Total debt ratio, Long-term debt ratio, Debt-equity ratio, and Times interest earned</t>
  </si>
  <si>
    <t>C. Turnover ratios: Inventory turnover, Receivable turnover, Fixed asset turnover, and Total asset turnover</t>
  </si>
  <si>
    <t>D. Profitability ratio: Profit margin, ROA, ROE</t>
  </si>
  <si>
    <t>E. Market value ratios: P/E, Market-to-book, and Tobin's Q</t>
  </si>
  <si>
    <t xml:space="preserve">2. Given these ratios, what do you think of the financial health of the company? </t>
  </si>
  <si>
    <t>Are the changes in these ratios from 2017 to 2018 in the director you would like to see? Why or why not? Briefly explain.</t>
  </si>
  <si>
    <t>Is the company financially constrained? Briefly discuss your results.</t>
  </si>
  <si>
    <t>4. You want to understand how the entries on the financial statements are related to sales so that you can identify entries that are appropriate for the percentage of sales approach.</t>
  </si>
  <si>
    <t>As a starting point, you will work on the “Consolidated Statements of Operations” and “Consolidated Balance Sheets”, and compute each entry as a percentage of sales for that year for the years of 2017 and 2018.</t>
  </si>
  <si>
    <t>Given your results, what entries are appropriate for the percentage of sales approach? Are your findings consistent with your understanding of the company’s strategy?</t>
  </si>
  <si>
    <t>5. In light of your analysis of the company, what do you think are the key drivers for the future performance of the META, drivers that the company should closely monitor and drive FP&amp;A's sensitivity analysis and scenario planning effort?</t>
  </si>
  <si>
    <t>Briefly explain.</t>
  </si>
  <si>
    <t>3. Calculate free cash flows for 2017 and 2018. What do you think of the company's cash flow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</si>
</sst>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 &quot;#,##0_);_(&quot;$ &quot;\(#,##0\)"/>
    <numFmt numFmtId="165" formatCode="_(&quot;$ &quot;#,##0.00_);_(&quot;$ &quot;\(#,##0.00\)"/>
    <numFmt numFmtId="166" formatCode="0.0%"/>
  </numFmts>
  <fonts count="15" x14ac:knownFonts="1">
    <font>
      <sz val="11"/>
      <color theme="1"/>
      <name val="Calibri"/>
      <family val="2"/>
      <scheme val="minor"/>
    </font>
    <font>
      <b/>
      <sz val="11"/>
      <name val="Calibri"/>
      <family val="2"/>
    </font>
    <font>
      <sz val="11"/>
      <name val="Calibri"/>
      <family val="2"/>
    </font>
    <font>
      <sz val="11"/>
      <color theme="1"/>
      <name val="Calibri"/>
      <family val="2"/>
      <scheme val="minor"/>
    </font>
    <font>
      <sz val="11"/>
      <name val="Calibri"/>
      <family val="2"/>
    </font>
    <font>
      <i/>
      <sz val="11"/>
      <name val="Calibri"/>
      <family val="2"/>
    </font>
    <font>
      <sz val="12"/>
      <color theme="1"/>
      <name val="Calibri"/>
      <family val="2"/>
      <scheme val="minor"/>
    </font>
    <font>
      <b/>
      <sz val="12"/>
      <color theme="1"/>
      <name val="Calibri"/>
      <family val="2"/>
      <scheme val="minor"/>
    </font>
    <font>
      <i/>
      <sz val="12"/>
      <color rgb="FF0070C0"/>
      <name val="Calibri"/>
      <family val="2"/>
      <scheme val="minor"/>
    </font>
    <font>
      <b/>
      <sz val="12"/>
      <name val="Calibri"/>
      <family val="2"/>
    </font>
    <font>
      <sz val="12"/>
      <name val="Calibri"/>
      <family val="2"/>
    </font>
    <font>
      <sz val="12"/>
      <color theme="0"/>
      <name val="Calibri"/>
      <family val="2"/>
    </font>
    <font>
      <i/>
      <sz val="12"/>
      <color theme="0"/>
      <name val="Calibri"/>
      <family val="2"/>
    </font>
    <font>
      <i/>
      <sz val="12"/>
      <name val="Calibri"/>
      <family val="2"/>
    </font>
    <font>
      <b/>
      <sz val="11"/>
      <color theme="1"/>
      <name val="Calibri"/>
      <family val="2"/>
      <scheme val="minor"/>
    </font>
  </fonts>
  <fills count="4">
    <fill>
      <patternFill patternType="none"/>
    </fill>
    <fill>
      <patternFill patternType="gray125"/>
    </fill>
    <fill>
      <patternFill patternType="solid">
        <fgColor rgb="FFE2EFDA"/>
        <bgColor indexed="64"/>
      </patternFill>
    </fill>
    <fill>
      <patternFill patternType="solid">
        <fgColor theme="0" tint="-4.9989318521683403E-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s>
  <cellStyleXfs count="4">
    <xf numFmtId="0" fontId="0" fillId="0" borderId="0"/>
    <xf numFmtId="44"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10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37" fontId="2" fillId="0" borderId="0" xfId="0" applyNumberFormat="1" applyFont="1" applyAlignment="1">
      <alignment horizontal="right" vertical="top"/>
    </xf>
    <xf numFmtId="164" fontId="2" fillId="0" borderId="0" xfId="0" applyNumberFormat="1" applyFont="1" applyAlignment="1">
      <alignment horizontal="right" vertical="top"/>
    </xf>
    <xf numFmtId="165" fontId="2" fillId="0" borderId="0" xfId="0" applyNumberFormat="1" applyFont="1" applyAlignment="1">
      <alignment horizontal="right" vertical="top"/>
    </xf>
    <xf numFmtId="0" fontId="4" fillId="0" borderId="0" xfId="0" applyFont="1" applyAlignment="1">
      <alignment horizontal="center" vertical="center" wrapText="1"/>
    </xf>
    <xf numFmtId="0" fontId="4" fillId="0" borderId="0" xfId="0" applyFont="1" applyAlignment="1">
      <alignment vertical="top" wrapText="1"/>
    </xf>
    <xf numFmtId="164" fontId="4" fillId="0" borderId="0" xfId="0" applyNumberFormat="1" applyFont="1" applyAlignment="1">
      <alignment horizontal="right" vertical="top"/>
    </xf>
    <xf numFmtId="37" fontId="4" fillId="0" borderId="0" xfId="0" applyNumberFormat="1" applyFont="1" applyAlignment="1">
      <alignment horizontal="right" vertical="top"/>
    </xf>
    <xf numFmtId="165" fontId="4" fillId="0" borderId="0" xfId="0" applyNumberFormat="1" applyFont="1" applyAlignment="1">
      <alignment horizontal="right" vertical="top"/>
    </xf>
    <xf numFmtId="0" fontId="5" fillId="0" borderId="0" xfId="0" applyFont="1" applyAlignment="1">
      <alignment vertical="top" wrapText="1"/>
    </xf>
    <xf numFmtId="44" fontId="2" fillId="0" borderId="0" xfId="1" applyFont="1" applyAlignment="1">
      <alignment horizontal="right" vertical="top"/>
    </xf>
    <xf numFmtId="0" fontId="6" fillId="0" borderId="0" xfId="0" applyFont="1"/>
    <xf numFmtId="0" fontId="7" fillId="3" borderId="17" xfId="0" applyFont="1" applyFill="1" applyBorder="1" applyAlignment="1">
      <alignment horizontal="center"/>
    </xf>
    <xf numFmtId="0" fontId="7" fillId="0" borderId="15" xfId="0" applyFont="1" applyBorder="1"/>
    <xf numFmtId="0" fontId="6" fillId="0" borderId="16" xfId="0" applyFont="1" applyBorder="1"/>
    <xf numFmtId="0" fontId="6" fillId="0" borderId="0" xfId="0" applyFont="1" applyAlignment="1">
      <alignment horizontal="left" indent="1"/>
    </xf>
    <xf numFmtId="0" fontId="6" fillId="0" borderId="0" xfId="0" applyFont="1" applyAlignment="1">
      <alignment horizontal="left" indent="2"/>
    </xf>
    <xf numFmtId="0" fontId="6" fillId="0" borderId="0" xfId="0" applyFont="1" applyAlignment="1">
      <alignment horizontal="left" indent="4"/>
    </xf>
    <xf numFmtId="0" fontId="8" fillId="0" borderId="0" xfId="0" applyFont="1" applyAlignment="1">
      <alignment horizontal="left" indent="1"/>
    </xf>
    <xf numFmtId="0" fontId="6" fillId="0" borderId="0" xfId="2" applyNumberFormat="1" applyFont="1" applyAlignment="1">
      <alignment horizontal="left" indent="1"/>
    </xf>
    <xf numFmtId="0" fontId="8" fillId="0" borderId="0" xfId="2" applyNumberFormat="1" applyFont="1" applyAlignment="1">
      <alignment horizontal="left" indent="1"/>
    </xf>
    <xf numFmtId="0" fontId="7" fillId="0" borderId="0" xfId="0" applyFont="1" applyAlignment="1">
      <alignment horizontal="left" indent="2"/>
    </xf>
    <xf numFmtId="0" fontId="6" fillId="0" borderId="0" xfId="0" applyFont="1" applyAlignment="1">
      <alignment horizontal="left" indent="3"/>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7" fillId="0" borderId="1" xfId="0" applyFont="1" applyBorder="1"/>
    <xf numFmtId="0" fontId="7" fillId="0" borderId="3" xfId="0" applyFont="1" applyBorder="1"/>
    <xf numFmtId="0" fontId="6" fillId="0" borderId="4" xfId="0" applyFont="1" applyBorder="1"/>
    <xf numFmtId="0" fontId="10" fillId="0" borderId="0" xfId="0" applyFont="1" applyAlignment="1">
      <alignment horizontal="center" vertical="center" wrapText="1"/>
    </xf>
    <xf numFmtId="0" fontId="10" fillId="2" borderId="0" xfId="0" applyFont="1" applyFill="1" applyAlignment="1">
      <alignment horizontal="center" vertical="center" wrapText="1"/>
    </xf>
    <xf numFmtId="0" fontId="10" fillId="2" borderId="5" xfId="0" applyFont="1" applyFill="1" applyBorder="1" applyAlignment="1">
      <alignment horizontal="center" vertical="center" wrapText="1"/>
    </xf>
    <xf numFmtId="0" fontId="6" fillId="0" borderId="5" xfId="0" applyFont="1" applyBorder="1"/>
    <xf numFmtId="0" fontId="9" fillId="0" borderId="4" xfId="0" applyFont="1" applyBorder="1" applyAlignment="1">
      <alignment vertical="top" wrapText="1"/>
    </xf>
    <xf numFmtId="0" fontId="10" fillId="0" borderId="4" xfId="0" applyFont="1" applyBorder="1" applyAlignment="1">
      <alignment vertical="top" wrapText="1"/>
    </xf>
    <xf numFmtId="164" fontId="10" fillId="0" borderId="0" xfId="0" applyNumberFormat="1" applyFont="1" applyAlignment="1">
      <alignment horizontal="right" vertical="top"/>
    </xf>
    <xf numFmtId="10" fontId="10" fillId="2" borderId="0" xfId="3" applyNumberFormat="1" applyFont="1" applyFill="1" applyBorder="1" applyAlignment="1">
      <alignment horizontal="right" vertical="top"/>
    </xf>
    <xf numFmtId="10" fontId="10" fillId="2" borderId="5" xfId="3" applyNumberFormat="1" applyFont="1" applyFill="1" applyBorder="1" applyAlignment="1">
      <alignment horizontal="right" vertical="top"/>
    </xf>
    <xf numFmtId="37" fontId="10" fillId="0" borderId="0" xfId="0" applyNumberFormat="1" applyFont="1" applyAlignment="1">
      <alignment horizontal="right" vertical="top"/>
    </xf>
    <xf numFmtId="0" fontId="6" fillId="0" borderId="6" xfId="0" applyFont="1" applyBorder="1"/>
    <xf numFmtId="0" fontId="6" fillId="0" borderId="8" xfId="0" applyFont="1" applyBorder="1"/>
    <xf numFmtId="165" fontId="10" fillId="0" borderId="0" xfId="0" applyNumberFormat="1" applyFont="1" applyAlignment="1">
      <alignment horizontal="right" vertical="top"/>
    </xf>
    <xf numFmtId="165" fontId="10" fillId="0" borderId="5" xfId="0" applyNumberFormat="1" applyFont="1" applyBorder="1" applyAlignment="1">
      <alignment horizontal="right" vertical="top"/>
    </xf>
    <xf numFmtId="37" fontId="10" fillId="0" borderId="5" xfId="0" applyNumberFormat="1" applyFont="1" applyBorder="1" applyAlignment="1">
      <alignment horizontal="right" vertical="top"/>
    </xf>
    <xf numFmtId="0" fontId="11" fillId="0" borderId="6" xfId="0" applyFont="1" applyBorder="1" applyAlignment="1">
      <alignment vertical="top" wrapText="1"/>
    </xf>
    <xf numFmtId="37" fontId="11" fillId="0" borderId="7" xfId="0" applyNumberFormat="1" applyFont="1" applyBorder="1" applyAlignment="1">
      <alignment horizontal="right" vertical="top"/>
    </xf>
    <xf numFmtId="37" fontId="11" fillId="0" borderId="8" xfId="0" applyNumberFormat="1" applyFont="1" applyBorder="1" applyAlignment="1">
      <alignment horizontal="right" vertical="top"/>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0" xfId="0" applyFont="1" applyAlignment="1">
      <alignment vertical="top" wrapText="1"/>
    </xf>
    <xf numFmtId="164" fontId="10" fillId="0" borderId="5" xfId="0" applyNumberFormat="1" applyFont="1" applyBorder="1" applyAlignment="1">
      <alignment horizontal="right" vertical="top"/>
    </xf>
    <xf numFmtId="0" fontId="12" fillId="0" borderId="6" xfId="0" applyFont="1" applyBorder="1" applyAlignment="1">
      <alignment vertical="top" wrapText="1"/>
    </xf>
    <xf numFmtId="0" fontId="6" fillId="0" borderId="7" xfId="0" applyFont="1" applyBorder="1"/>
    <xf numFmtId="0" fontId="10" fillId="0" borderId="5" xfId="0" applyFont="1" applyBorder="1" applyAlignment="1">
      <alignment horizontal="center" vertical="center" wrapText="1"/>
    </xf>
    <xf numFmtId="0" fontId="10" fillId="0" borderId="6" xfId="0" applyFont="1" applyBorder="1" applyAlignment="1">
      <alignment vertical="top" wrapText="1"/>
    </xf>
    <xf numFmtId="37" fontId="10" fillId="0" borderId="7" xfId="0" applyNumberFormat="1" applyFont="1" applyBorder="1" applyAlignment="1">
      <alignment horizontal="right" vertical="top"/>
    </xf>
    <xf numFmtId="37" fontId="10" fillId="0" borderId="8" xfId="0" applyNumberFormat="1" applyFont="1" applyBorder="1" applyAlignment="1">
      <alignment horizontal="right" vertical="top"/>
    </xf>
    <xf numFmtId="0" fontId="10" fillId="0" borderId="5" xfId="0" applyFont="1" applyBorder="1" applyAlignment="1">
      <alignment vertical="top" wrapText="1"/>
    </xf>
    <xf numFmtId="0" fontId="13" fillId="0" borderId="6" xfId="0" applyFont="1" applyBorder="1" applyAlignment="1">
      <alignment vertical="top" wrapText="1"/>
    </xf>
    <xf numFmtId="44" fontId="10" fillId="0" borderId="7" xfId="1" applyFont="1" applyBorder="1" applyAlignment="1">
      <alignment horizontal="right" vertical="top"/>
    </xf>
    <xf numFmtId="44" fontId="10" fillId="0" borderId="8" xfId="1" applyFont="1" applyBorder="1" applyAlignment="1">
      <alignment horizontal="right" vertical="top"/>
    </xf>
    <xf numFmtId="164" fontId="10" fillId="0" borderId="7" xfId="0" applyNumberFormat="1" applyFont="1" applyBorder="1" applyAlignment="1">
      <alignment horizontal="right" vertical="top"/>
    </xf>
    <xf numFmtId="164" fontId="10" fillId="0" borderId="8" xfId="0" applyNumberFormat="1" applyFont="1" applyBorder="1" applyAlignment="1">
      <alignment horizontal="right" vertical="top"/>
    </xf>
    <xf numFmtId="0" fontId="6" fillId="0" borderId="2" xfId="0" applyFont="1" applyBorder="1"/>
    <xf numFmtId="0" fontId="6" fillId="0" borderId="3" xfId="0" applyFont="1" applyBorder="1"/>
    <xf numFmtId="0" fontId="7" fillId="0" borderId="9" xfId="0" applyFont="1" applyBorder="1" applyAlignment="1">
      <alignment horizontal="center"/>
    </xf>
    <xf numFmtId="0" fontId="7" fillId="0" borderId="0" xfId="0" applyFont="1" applyAlignment="1">
      <alignment horizontal="center"/>
    </xf>
    <xf numFmtId="0" fontId="8" fillId="0" borderId="4" xfId="0" applyFont="1" applyBorder="1"/>
    <xf numFmtId="0" fontId="6" fillId="0" borderId="11" xfId="0" applyFont="1" applyBorder="1"/>
    <xf numFmtId="0" fontId="6" fillId="0" borderId="4" xfId="0" applyFont="1" applyBorder="1" applyAlignment="1">
      <alignment horizontal="left" indent="2"/>
    </xf>
    <xf numFmtId="2" fontId="6" fillId="0" borderId="0" xfId="0" applyNumberFormat="1" applyFont="1"/>
    <xf numFmtId="2" fontId="6" fillId="0" borderId="5" xfId="0" applyNumberFormat="1" applyFont="1" applyBorder="1"/>
    <xf numFmtId="166" fontId="6" fillId="0" borderId="0" xfId="3" applyNumberFormat="1" applyFont="1" applyBorder="1"/>
    <xf numFmtId="166" fontId="6" fillId="0" borderId="5" xfId="3" applyNumberFormat="1" applyFont="1" applyBorder="1"/>
    <xf numFmtId="2" fontId="6" fillId="0" borderId="0" xfId="3" applyNumberFormat="1" applyFont="1" applyBorder="1"/>
    <xf numFmtId="2" fontId="6" fillId="0" borderId="5" xfId="3" applyNumberFormat="1" applyFont="1" applyBorder="1"/>
    <xf numFmtId="43" fontId="6" fillId="0" borderId="0" xfId="2" applyFont="1" applyBorder="1"/>
    <xf numFmtId="43" fontId="6" fillId="0" borderId="5" xfId="2" applyFont="1" applyBorder="1"/>
    <xf numFmtId="0" fontId="6" fillId="0" borderId="6" xfId="0" applyFont="1" applyBorder="1" applyAlignment="1">
      <alignment horizontal="left" indent="2"/>
    </xf>
    <xf numFmtId="43" fontId="6" fillId="0" borderId="7" xfId="2" applyFont="1" applyBorder="1"/>
    <xf numFmtId="43" fontId="6" fillId="0" borderId="8" xfId="2" applyFont="1" applyBorder="1"/>
    <xf numFmtId="0" fontId="6" fillId="0" borderId="10" xfId="0" applyFont="1" applyBorder="1"/>
    <xf numFmtId="37" fontId="6" fillId="0" borderId="0" xfId="0" applyNumberFormat="1" applyFont="1"/>
    <xf numFmtId="37" fontId="6" fillId="0" borderId="5" xfId="0" applyNumberFormat="1" applyFont="1" applyBorder="1"/>
    <xf numFmtId="0" fontId="6" fillId="0" borderId="14" xfId="0" applyFont="1" applyBorder="1"/>
    <xf numFmtId="0" fontId="6" fillId="0" borderId="13" xfId="0" applyFont="1" applyBorder="1"/>
    <xf numFmtId="37" fontId="6" fillId="0" borderId="13" xfId="0" applyNumberFormat="1" applyFont="1" applyBorder="1"/>
    <xf numFmtId="37" fontId="6" fillId="0" borderId="12" xfId="0" applyNumberFormat="1" applyFont="1" applyBorder="1"/>
    <xf numFmtId="0" fontId="7" fillId="0" borderId="6" xfId="0" applyFont="1" applyBorder="1"/>
    <xf numFmtId="37" fontId="7" fillId="0" borderId="7" xfId="0" applyNumberFormat="1" applyFont="1" applyBorder="1"/>
    <xf numFmtId="37" fontId="7" fillId="0" borderId="8" xfId="0" applyNumberFormat="1" applyFont="1" applyBorder="1"/>
    <xf numFmtId="166" fontId="6" fillId="0" borderId="0" xfId="3" applyNumberFormat="1" applyFont="1"/>
    <xf numFmtId="0" fontId="9" fillId="0" borderId="1" xfId="0" applyFont="1" applyBorder="1" applyAlignment="1">
      <alignment horizontal="center" vertical="center" wrapText="1"/>
    </xf>
    <xf numFmtId="0" fontId="6" fillId="0" borderId="4" xfId="0" applyFont="1" applyBorder="1"/>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2" fillId="0" borderId="0" xfId="0" applyFont="1" applyAlignment="1">
      <alignment horizontal="center" vertical="center" wrapText="1"/>
    </xf>
    <xf numFmtId="0" fontId="14" fillId="0" borderId="0" xfId="0" applyFont="1"/>
    <xf numFmtId="0" fontId="0" fillId="0" borderId="0" xfId="0" applyAlignment="1">
      <alignment horizontal="left" indent="1"/>
    </xf>
    <xf numFmtId="0" fontId="0" fillId="0" borderId="0" xfId="0" applyAlignment="1">
      <alignment horizontal="left" indent="2"/>
    </xf>
  </cellXfs>
  <cellStyles count="4">
    <cellStyle name="Comma" xfId="2" builtinId="3"/>
    <cellStyle name="Currency" xfId="1" builtinId="4"/>
    <cellStyle name="Normal" xfId="0" builtinId="0"/>
    <cellStyle name="Percent" xfId="3" builtinId="5"/>
  </cellStyles>
  <dxfs count="0"/>
  <tableStyles count="0" defaultTableStyle="TableStyleMedium9"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01AC6-BE76-4A97-9343-4C2B0BCB4912}">
  <dimension ref="A1:A3"/>
  <sheetViews>
    <sheetView topLeftCell="A2" workbookViewId="0">
      <selection activeCell="C3" sqref="C3"/>
    </sheetView>
  </sheetViews>
  <sheetFormatPr defaultRowHeight="15.6" x14ac:dyDescent="0.3"/>
  <cols>
    <col min="1" max="1" width="12.6640625" style="15" bestFit="1" customWidth="1"/>
    <col min="2" max="16384" width="8.88671875" style="15"/>
  </cols>
  <sheetData>
    <row r="1" spans="1:1" ht="3.6" hidden="1" customHeight="1" x14ac:dyDescent="0.3"/>
    <row r="2" spans="1:1" ht="16.2" thickBot="1" x14ac:dyDescent="0.35">
      <c r="A2" s="16" t="s">
        <v>221</v>
      </c>
    </row>
    <row r="3" spans="1:1" ht="16.2" thickTop="1" x14ac:dyDescent="0.3">
      <c r="A3" s="15" t="s">
        <v>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76BA-2693-4A88-A338-B68CCD34AD8F}">
  <dimension ref="B2:B25"/>
  <sheetViews>
    <sheetView showGridLines="0" zoomScale="80" zoomScaleNormal="80" workbookViewId="0">
      <selection activeCell="D2" sqref="D2"/>
    </sheetView>
  </sheetViews>
  <sheetFormatPr defaultRowHeight="14.4" x14ac:dyDescent="0.3"/>
  <cols>
    <col min="1" max="1" width="1.33203125" customWidth="1"/>
  </cols>
  <sheetData>
    <row r="2" spans="2:2" x14ac:dyDescent="0.3">
      <c r="B2" s="104" t="s">
        <v>275</v>
      </c>
    </row>
    <row r="3" spans="2:2" x14ac:dyDescent="0.3">
      <c r="B3" s="105" t="s">
        <v>276</v>
      </c>
    </row>
    <row r="4" spans="2:2" x14ac:dyDescent="0.3">
      <c r="B4" s="105" t="s">
        <v>277</v>
      </c>
    </row>
    <row r="6" spans="2:2" x14ac:dyDescent="0.3">
      <c r="B6" s="104" t="s">
        <v>278</v>
      </c>
    </row>
    <row r="7" spans="2:2" x14ac:dyDescent="0.3">
      <c r="B7" s="105" t="s">
        <v>279</v>
      </c>
    </row>
    <row r="8" spans="2:2" x14ac:dyDescent="0.3">
      <c r="B8" s="106" t="s">
        <v>280</v>
      </c>
    </row>
    <row r="9" spans="2:2" x14ac:dyDescent="0.3">
      <c r="B9" s="106" t="s">
        <v>281</v>
      </c>
    </row>
    <row r="10" spans="2:2" x14ac:dyDescent="0.3">
      <c r="B10" s="106" t="s">
        <v>282</v>
      </c>
    </row>
    <row r="11" spans="2:2" x14ac:dyDescent="0.3">
      <c r="B11" s="106" t="s">
        <v>283</v>
      </c>
    </row>
    <row r="12" spans="2:2" x14ac:dyDescent="0.3">
      <c r="B12" s="106" t="s">
        <v>284</v>
      </c>
    </row>
    <row r="14" spans="2:2" x14ac:dyDescent="0.3">
      <c r="B14" s="105" t="s">
        <v>285</v>
      </c>
    </row>
    <row r="15" spans="2:2" x14ac:dyDescent="0.3">
      <c r="B15" s="105" t="s">
        <v>286</v>
      </c>
    </row>
    <row r="17" spans="2:2" x14ac:dyDescent="0.3">
      <c r="B17" s="105" t="s">
        <v>293</v>
      </c>
    </row>
    <row r="18" spans="2:2" x14ac:dyDescent="0.3">
      <c r="B18" s="105" t="s">
        <v>287</v>
      </c>
    </row>
    <row r="20" spans="2:2" x14ac:dyDescent="0.3">
      <c r="B20" s="105" t="s">
        <v>288</v>
      </c>
    </row>
    <row r="21" spans="2:2" x14ac:dyDescent="0.3">
      <c r="B21" s="105" t="s">
        <v>289</v>
      </c>
    </row>
    <row r="22" spans="2:2" x14ac:dyDescent="0.3">
      <c r="B22" s="105" t="s">
        <v>290</v>
      </c>
    </row>
    <row r="24" spans="2:2" x14ac:dyDescent="0.3">
      <c r="B24" s="105" t="s">
        <v>291</v>
      </c>
    </row>
    <row r="25" spans="2:2" x14ac:dyDescent="0.3">
      <c r="B25" s="105" t="s">
        <v>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EA32-7509-4EA3-9D8B-DA9F6CAC9675}">
  <sheetPr>
    <tabColor rgb="FFFFFF00"/>
  </sheetPr>
  <dimension ref="B1:C99"/>
  <sheetViews>
    <sheetView showGridLines="0" tabSelected="1" zoomScale="80" zoomScaleNormal="80" workbookViewId="0">
      <selection activeCell="E2" sqref="E2"/>
    </sheetView>
  </sheetViews>
  <sheetFormatPr defaultRowHeight="15.6" outlineLevelRow="1" x14ac:dyDescent="0.3"/>
  <cols>
    <col min="1" max="1" width="1.33203125" style="15" customWidth="1"/>
    <col min="2" max="2" width="13.44140625" style="15" bestFit="1" customWidth="1"/>
    <col min="3" max="16384" width="8.88671875" style="15"/>
  </cols>
  <sheetData>
    <row r="1" spans="2:3" ht="5.4" customHeight="1" thickBot="1" x14ac:dyDescent="0.35"/>
    <row r="2" spans="2:3" ht="16.2" thickBot="1" x14ac:dyDescent="0.35">
      <c r="B2" s="17" t="s">
        <v>182</v>
      </c>
      <c r="C2" s="18"/>
    </row>
    <row r="3" spans="2:3" x14ac:dyDescent="0.3">
      <c r="B3" s="15" t="s">
        <v>183</v>
      </c>
    </row>
    <row r="4" spans="2:3" x14ac:dyDescent="0.3">
      <c r="B4" s="19" t="s">
        <v>268</v>
      </c>
    </row>
    <row r="5" spans="2:3" x14ac:dyDescent="0.3">
      <c r="B5" s="20" t="s">
        <v>184</v>
      </c>
    </row>
    <row r="6" spans="2:3" x14ac:dyDescent="0.3">
      <c r="B6" s="20" t="s">
        <v>185</v>
      </c>
    </row>
    <row r="7" spans="2:3" x14ac:dyDescent="0.3">
      <c r="B7" s="19" t="s">
        <v>269</v>
      </c>
    </row>
    <row r="8" spans="2:3" x14ac:dyDescent="0.3">
      <c r="B8" s="20" t="s">
        <v>186</v>
      </c>
    </row>
    <row r="9" spans="2:3" x14ac:dyDescent="0.3">
      <c r="B9" s="20" t="s">
        <v>187</v>
      </c>
    </row>
    <row r="10" spans="2:3" x14ac:dyDescent="0.3">
      <c r="B10" s="20" t="s">
        <v>188</v>
      </c>
    </row>
    <row r="11" spans="2:3" x14ac:dyDescent="0.3">
      <c r="B11" s="20" t="s">
        <v>189</v>
      </c>
    </row>
    <row r="12" spans="2:3" x14ac:dyDescent="0.3">
      <c r="B12" s="19" t="s">
        <v>270</v>
      </c>
    </row>
    <row r="13" spans="2:3" x14ac:dyDescent="0.3">
      <c r="B13" s="20" t="s">
        <v>190</v>
      </c>
    </row>
    <row r="14" spans="2:3" x14ac:dyDescent="0.3">
      <c r="B14" s="20" t="s">
        <v>191</v>
      </c>
    </row>
    <row r="15" spans="2:3" x14ac:dyDescent="0.3">
      <c r="B15" s="20" t="s">
        <v>192</v>
      </c>
    </row>
    <row r="16" spans="2:3" x14ac:dyDescent="0.3">
      <c r="B16" s="20" t="s">
        <v>193</v>
      </c>
    </row>
    <row r="17" spans="2:2" x14ac:dyDescent="0.3">
      <c r="B17" s="19" t="s">
        <v>271</v>
      </c>
    </row>
    <row r="18" spans="2:2" x14ac:dyDescent="0.3">
      <c r="B18" s="20" t="s">
        <v>194</v>
      </c>
    </row>
    <row r="19" spans="2:2" x14ac:dyDescent="0.3">
      <c r="B19" s="20" t="s">
        <v>195</v>
      </c>
    </row>
    <row r="20" spans="2:2" x14ac:dyDescent="0.3">
      <c r="B20" s="20" t="s">
        <v>196</v>
      </c>
    </row>
    <row r="21" spans="2:2" x14ac:dyDescent="0.3">
      <c r="B21" s="19" t="s">
        <v>272</v>
      </c>
    </row>
    <row r="22" spans="2:2" x14ac:dyDescent="0.3">
      <c r="B22" s="20" t="s">
        <v>197</v>
      </c>
    </row>
    <row r="23" spans="2:2" x14ac:dyDescent="0.3">
      <c r="B23" s="21" t="s">
        <v>273</v>
      </c>
    </row>
    <row r="24" spans="2:2" x14ac:dyDescent="0.3">
      <c r="B24" s="20" t="s">
        <v>198</v>
      </c>
    </row>
    <row r="25" spans="2:2" x14ac:dyDescent="0.3">
      <c r="B25" s="20" t="s">
        <v>199</v>
      </c>
    </row>
    <row r="27" spans="2:2" x14ac:dyDescent="0.3">
      <c r="B27" s="15" t="s">
        <v>200</v>
      </c>
    </row>
    <row r="28" spans="2:2" x14ac:dyDescent="0.3">
      <c r="B28" s="22" t="s">
        <v>103</v>
      </c>
    </row>
    <row r="29" spans="2:2" x14ac:dyDescent="0.3">
      <c r="B29" s="20" t="s">
        <v>254</v>
      </c>
    </row>
    <row r="30" spans="2:2" x14ac:dyDescent="0.3">
      <c r="B30" s="20" t="s">
        <v>255</v>
      </c>
    </row>
    <row r="31" spans="2:2" x14ac:dyDescent="0.3">
      <c r="B31" s="22" t="s">
        <v>106</v>
      </c>
    </row>
    <row r="32" spans="2:2" x14ac:dyDescent="0.3">
      <c r="B32" s="20" t="s">
        <v>201</v>
      </c>
    </row>
    <row r="33" spans="2:2" x14ac:dyDescent="0.3">
      <c r="B33" s="20" t="s">
        <v>229</v>
      </c>
    </row>
    <row r="34" spans="2:2" x14ac:dyDescent="0.3">
      <c r="B34" s="22" t="s">
        <v>119</v>
      </c>
    </row>
    <row r="35" spans="2:2" x14ac:dyDescent="0.3">
      <c r="B35" s="20" t="s">
        <v>256</v>
      </c>
    </row>
    <row r="36" spans="2:2" x14ac:dyDescent="0.3">
      <c r="B36" s="20" t="s">
        <v>259</v>
      </c>
    </row>
    <row r="37" spans="2:2" x14ac:dyDescent="0.3">
      <c r="B37" s="22" t="s">
        <v>111</v>
      </c>
    </row>
    <row r="38" spans="2:2" x14ac:dyDescent="0.3">
      <c r="B38" s="20" t="s">
        <v>257</v>
      </c>
    </row>
    <row r="39" spans="2:2" x14ac:dyDescent="0.3">
      <c r="B39" s="20" t="s">
        <v>202</v>
      </c>
    </row>
    <row r="40" spans="2:2" x14ac:dyDescent="0.3">
      <c r="B40" s="22" t="s">
        <v>115</v>
      </c>
    </row>
    <row r="41" spans="2:2" x14ac:dyDescent="0.3">
      <c r="B41" s="20" t="s">
        <v>258</v>
      </c>
    </row>
    <row r="42" spans="2:2" x14ac:dyDescent="0.3">
      <c r="B42" s="20" t="s">
        <v>267</v>
      </c>
    </row>
    <row r="44" spans="2:2" x14ac:dyDescent="0.3">
      <c r="B44" s="20" t="s">
        <v>203</v>
      </c>
    </row>
    <row r="45" spans="2:2" x14ac:dyDescent="0.3">
      <c r="B45" s="23" t="s">
        <v>204</v>
      </c>
    </row>
    <row r="46" spans="2:2" x14ac:dyDescent="0.3">
      <c r="B46" s="23" t="s">
        <v>205</v>
      </c>
    </row>
    <row r="47" spans="2:2" x14ac:dyDescent="0.3">
      <c r="B47" s="20" t="s">
        <v>206</v>
      </c>
    </row>
    <row r="48" spans="2:2" x14ac:dyDescent="0.3">
      <c r="B48" s="20" t="s">
        <v>207</v>
      </c>
    </row>
    <row r="49" spans="2:2" x14ac:dyDescent="0.3">
      <c r="B49" s="20" t="s">
        <v>208</v>
      </c>
    </row>
    <row r="50" spans="2:2" x14ac:dyDescent="0.3">
      <c r="B50" s="20" t="s">
        <v>228</v>
      </c>
    </row>
    <row r="51" spans="2:2" x14ac:dyDescent="0.3">
      <c r="B51" s="20" t="s">
        <v>209</v>
      </c>
    </row>
    <row r="53" spans="2:2" x14ac:dyDescent="0.3">
      <c r="B53" s="20" t="s">
        <v>210</v>
      </c>
    </row>
    <row r="54" spans="2:2" x14ac:dyDescent="0.3">
      <c r="B54" s="24" t="s">
        <v>211</v>
      </c>
    </row>
    <row r="55" spans="2:2" x14ac:dyDescent="0.3">
      <c r="B55" s="20" t="s">
        <v>233</v>
      </c>
    </row>
    <row r="56" spans="2:2" x14ac:dyDescent="0.3">
      <c r="B56" s="20" t="s">
        <v>234</v>
      </c>
    </row>
    <row r="57" spans="2:2" x14ac:dyDescent="0.3">
      <c r="B57" s="20" t="s">
        <v>235</v>
      </c>
    </row>
    <row r="58" spans="2:2" x14ac:dyDescent="0.3">
      <c r="B58" s="20" t="s">
        <v>236</v>
      </c>
    </row>
    <row r="59" spans="2:2" x14ac:dyDescent="0.3">
      <c r="B59" s="20" t="s">
        <v>237</v>
      </c>
    </row>
    <row r="60" spans="2:2" x14ac:dyDescent="0.3">
      <c r="B60" s="20" t="s">
        <v>238</v>
      </c>
    </row>
    <row r="61" spans="2:2" x14ac:dyDescent="0.3">
      <c r="B61" s="20" t="s">
        <v>239</v>
      </c>
    </row>
    <row r="62" spans="2:2" x14ac:dyDescent="0.3">
      <c r="B62" s="24" t="s">
        <v>212</v>
      </c>
    </row>
    <row r="63" spans="2:2" outlineLevel="1" x14ac:dyDescent="0.3">
      <c r="B63" s="20" t="s">
        <v>240</v>
      </c>
    </row>
    <row r="64" spans="2:2" outlineLevel="1" x14ac:dyDescent="0.3">
      <c r="B64" s="20" t="s">
        <v>241</v>
      </c>
    </row>
    <row r="65" spans="2:2" outlineLevel="1" x14ac:dyDescent="0.3">
      <c r="B65" s="20" t="s">
        <v>242</v>
      </c>
    </row>
    <row r="66" spans="2:2" outlineLevel="1" x14ac:dyDescent="0.3">
      <c r="B66" s="20" t="s">
        <v>243</v>
      </c>
    </row>
    <row r="67" spans="2:2" outlineLevel="1" x14ac:dyDescent="0.3">
      <c r="B67" s="20" t="s">
        <v>244</v>
      </c>
    </row>
    <row r="68" spans="2:2" outlineLevel="1" x14ac:dyDescent="0.3">
      <c r="B68" s="20" t="s">
        <v>245</v>
      </c>
    </row>
    <row r="69" spans="2:2" outlineLevel="1" x14ac:dyDescent="0.3">
      <c r="B69" s="20" t="s">
        <v>246</v>
      </c>
    </row>
    <row r="70" spans="2:2" outlineLevel="1" x14ac:dyDescent="0.3">
      <c r="B70" s="20" t="s">
        <v>247</v>
      </c>
    </row>
    <row r="71" spans="2:2" outlineLevel="1" x14ac:dyDescent="0.3">
      <c r="B71" s="20" t="s">
        <v>248</v>
      </c>
    </row>
    <row r="72" spans="2:2" outlineLevel="1" x14ac:dyDescent="0.3">
      <c r="B72" s="20" t="s">
        <v>249</v>
      </c>
    </row>
    <row r="73" spans="2:2" outlineLevel="1" x14ac:dyDescent="0.3">
      <c r="B73" s="20" t="s">
        <v>250</v>
      </c>
    </row>
    <row r="74" spans="2:2" outlineLevel="1" x14ac:dyDescent="0.3">
      <c r="B74" s="20" t="s">
        <v>251</v>
      </c>
    </row>
    <row r="75" spans="2:2" outlineLevel="1" x14ac:dyDescent="0.3">
      <c r="B75" s="20" t="s">
        <v>252</v>
      </c>
    </row>
    <row r="76" spans="2:2" outlineLevel="1" x14ac:dyDescent="0.3">
      <c r="B76" s="20" t="s">
        <v>253</v>
      </c>
    </row>
    <row r="78" spans="2:2" x14ac:dyDescent="0.3">
      <c r="B78" s="24" t="s">
        <v>216</v>
      </c>
    </row>
    <row r="79" spans="2:2" x14ac:dyDescent="0.3">
      <c r="B79" s="20" t="s">
        <v>217</v>
      </c>
    </row>
    <row r="80" spans="2:2" x14ac:dyDescent="0.3">
      <c r="B80" s="20" t="s">
        <v>218</v>
      </c>
    </row>
    <row r="81" spans="2:2" x14ac:dyDescent="0.3">
      <c r="B81" s="20" t="s">
        <v>266</v>
      </c>
    </row>
    <row r="82" spans="2:2" x14ac:dyDescent="0.3">
      <c r="B82" s="20" t="s">
        <v>219</v>
      </c>
    </row>
    <row r="83" spans="2:2" x14ac:dyDescent="0.3">
      <c r="B83" s="21" t="s">
        <v>274</v>
      </c>
    </row>
    <row r="85" spans="2:2" x14ac:dyDescent="0.3">
      <c r="B85" s="20" t="s">
        <v>220</v>
      </c>
    </row>
    <row r="86" spans="2:2" x14ac:dyDescent="0.3">
      <c r="B86" s="24" t="s">
        <v>230</v>
      </c>
    </row>
    <row r="87" spans="2:2" x14ac:dyDescent="0.3">
      <c r="B87" s="20" t="s">
        <v>260</v>
      </c>
    </row>
    <row r="88" spans="2:2" x14ac:dyDescent="0.3">
      <c r="B88" s="20" t="s">
        <v>261</v>
      </c>
    </row>
    <row r="89" spans="2:2" x14ac:dyDescent="0.3">
      <c r="B89" s="20" t="s">
        <v>262</v>
      </c>
    </row>
    <row r="90" spans="2:2" x14ac:dyDescent="0.3">
      <c r="B90" s="24" t="s">
        <v>263</v>
      </c>
    </row>
    <row r="91" spans="2:2" x14ac:dyDescent="0.3">
      <c r="B91" s="20" t="s">
        <v>224</v>
      </c>
    </row>
    <row r="92" spans="2:2" x14ac:dyDescent="0.3">
      <c r="B92" s="20" t="s">
        <v>231</v>
      </c>
    </row>
    <row r="93" spans="2:2" x14ac:dyDescent="0.3">
      <c r="B93" s="24" t="s">
        <v>223</v>
      </c>
    </row>
    <row r="94" spans="2:2" x14ac:dyDescent="0.3">
      <c r="B94" s="25" t="s">
        <v>225</v>
      </c>
    </row>
    <row r="95" spans="2:2" x14ac:dyDescent="0.3">
      <c r="B95" s="26" t="s">
        <v>227</v>
      </c>
    </row>
    <row r="96" spans="2:2" x14ac:dyDescent="0.3">
      <c r="B96" s="26" t="s">
        <v>232</v>
      </c>
    </row>
    <row r="97" spans="2:2" x14ac:dyDescent="0.3">
      <c r="B97" s="25" t="s">
        <v>226</v>
      </c>
    </row>
    <row r="98" spans="2:2" x14ac:dyDescent="0.3">
      <c r="B98" s="26" t="s">
        <v>265</v>
      </c>
    </row>
    <row r="99" spans="2:2" x14ac:dyDescent="0.3">
      <c r="B99" s="26"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A88F-1C5D-44B5-BAC2-159AFA202CDF}">
  <sheetPr>
    <tabColor rgb="FFFFFF00"/>
  </sheetPr>
  <dimension ref="B1:J60"/>
  <sheetViews>
    <sheetView zoomScale="75" zoomScaleNormal="75" workbookViewId="0">
      <selection activeCell="D69" sqref="D69"/>
    </sheetView>
  </sheetViews>
  <sheetFormatPr defaultRowHeight="15.6" x14ac:dyDescent="0.3"/>
  <cols>
    <col min="1" max="1" width="2.109375" style="15" customWidth="1"/>
    <col min="2" max="2" width="79.77734375" style="15" bestFit="1" customWidth="1"/>
    <col min="3" max="4" width="13.88671875" style="15" bestFit="1" customWidth="1"/>
    <col min="5" max="5" width="10.5546875" style="15" bestFit="1" customWidth="1"/>
    <col min="6" max="6" width="13.88671875" style="15" bestFit="1" customWidth="1"/>
    <col min="7" max="7" width="10.5546875" style="15" bestFit="1" customWidth="1"/>
    <col min="8" max="8" width="4.109375" style="15" customWidth="1"/>
    <col min="9" max="9" width="75.33203125" style="15" customWidth="1"/>
    <col min="10" max="10" width="27.33203125" style="15" bestFit="1" customWidth="1"/>
    <col min="11" max="16384" width="8.88671875" style="15"/>
  </cols>
  <sheetData>
    <row r="1" spans="2:10" ht="7.8" customHeight="1" thickBot="1" x14ac:dyDescent="0.35"/>
    <row r="2" spans="2:10" ht="15" customHeight="1" x14ac:dyDescent="0.3">
      <c r="B2" s="96" t="s">
        <v>2</v>
      </c>
      <c r="C2" s="98" t="s">
        <v>0</v>
      </c>
      <c r="D2" s="98"/>
      <c r="E2" s="98"/>
      <c r="F2" s="98"/>
      <c r="G2" s="99"/>
      <c r="I2" s="30" t="s">
        <v>145</v>
      </c>
      <c r="J2" s="31" t="s">
        <v>155</v>
      </c>
    </row>
    <row r="3" spans="2:10" ht="15" customHeight="1" x14ac:dyDescent="0.3">
      <c r="B3" s="97"/>
      <c r="C3" s="33" t="s">
        <v>4</v>
      </c>
      <c r="D3" s="33" t="s">
        <v>3</v>
      </c>
      <c r="E3" s="34" t="s">
        <v>149</v>
      </c>
      <c r="F3" s="33" t="s">
        <v>1</v>
      </c>
      <c r="G3" s="35" t="s">
        <v>150</v>
      </c>
      <c r="I3" s="32"/>
      <c r="J3" s="36"/>
    </row>
    <row r="4" spans="2:10" ht="15" customHeight="1" x14ac:dyDescent="0.3">
      <c r="B4" s="37" t="s">
        <v>5</v>
      </c>
      <c r="G4" s="36"/>
      <c r="I4" s="32"/>
      <c r="J4" s="36"/>
    </row>
    <row r="5" spans="2:10" ht="15" customHeight="1" x14ac:dyDescent="0.3">
      <c r="B5" s="38" t="s">
        <v>6</v>
      </c>
      <c r="C5" s="39">
        <v>10825</v>
      </c>
      <c r="D5" s="39">
        <v>14537</v>
      </c>
      <c r="E5" s="40">
        <f>D5/$D$5</f>
        <v>1</v>
      </c>
      <c r="F5" s="39">
        <v>17253</v>
      </c>
      <c r="G5" s="41">
        <f>F5/$F$5</f>
        <v>1</v>
      </c>
      <c r="I5" s="32" t="s">
        <v>151</v>
      </c>
      <c r="J5" s="36"/>
    </row>
    <row r="6" spans="2:10" ht="15" customHeight="1" x14ac:dyDescent="0.3">
      <c r="B6" s="38" t="s">
        <v>7</v>
      </c>
      <c r="C6" s="42">
        <v>6314</v>
      </c>
      <c r="D6" s="42">
        <v>8005</v>
      </c>
      <c r="E6" s="40">
        <f t="shared" ref="E6:E18" si="0">D6/$D$5</f>
        <v>0.55066382334732067</v>
      </c>
      <c r="F6" s="42">
        <v>9436</v>
      </c>
      <c r="G6" s="41">
        <f t="shared" ref="G6:G18" si="1">F6/$F$5</f>
        <v>0.5469193763403466</v>
      </c>
      <c r="I6" s="32" t="s">
        <v>152</v>
      </c>
      <c r="J6" s="36" t="s">
        <v>156</v>
      </c>
    </row>
    <row r="7" spans="2:10" ht="15" customHeight="1" x14ac:dyDescent="0.3">
      <c r="B7" s="38" t="s">
        <v>8</v>
      </c>
      <c r="C7" s="42">
        <v>4511</v>
      </c>
      <c r="D7" s="42">
        <v>6532</v>
      </c>
      <c r="E7" s="40">
        <f t="shared" si="0"/>
        <v>0.44933617665267939</v>
      </c>
      <c r="F7" s="42">
        <v>7817</v>
      </c>
      <c r="G7" s="41">
        <f t="shared" si="1"/>
        <v>0.4530806236596534</v>
      </c>
      <c r="I7" s="32" t="s">
        <v>162</v>
      </c>
      <c r="J7" s="36" t="s">
        <v>157</v>
      </c>
    </row>
    <row r="8" spans="2:10" ht="15" customHeight="1" x14ac:dyDescent="0.3">
      <c r="B8" s="37" t="s">
        <v>9</v>
      </c>
      <c r="G8" s="36"/>
      <c r="I8" s="32"/>
      <c r="J8" s="36"/>
    </row>
    <row r="9" spans="2:10" ht="15" customHeight="1" x14ac:dyDescent="0.3">
      <c r="B9" s="38" t="s">
        <v>10</v>
      </c>
      <c r="C9" s="42">
        <v>1540</v>
      </c>
      <c r="D9" s="42">
        <v>1774</v>
      </c>
      <c r="E9" s="40">
        <f t="shared" si="0"/>
        <v>0.12203343193231066</v>
      </c>
      <c r="F9" s="42">
        <v>2019</v>
      </c>
      <c r="G9" s="41">
        <f t="shared" si="1"/>
        <v>0.11702312641279777</v>
      </c>
      <c r="I9" s="32" t="s">
        <v>153</v>
      </c>
      <c r="J9" s="36" t="s">
        <v>156</v>
      </c>
    </row>
    <row r="10" spans="2:10" ht="15" customHeight="1" x14ac:dyDescent="0.3">
      <c r="B10" s="38" t="s">
        <v>11</v>
      </c>
      <c r="C10" s="42">
        <v>429</v>
      </c>
      <c r="D10" s="42">
        <v>456</v>
      </c>
      <c r="E10" s="40">
        <f t="shared" si="0"/>
        <v>3.1368232785306462E-2</v>
      </c>
      <c r="F10" s="42">
        <v>521</v>
      </c>
      <c r="G10" s="41">
        <f t="shared" si="1"/>
        <v>3.0197646786066193E-2</v>
      </c>
      <c r="I10" s="32" t="s">
        <v>154</v>
      </c>
      <c r="J10" s="36" t="s">
        <v>156</v>
      </c>
    </row>
    <row r="11" spans="2:10" ht="15" customHeight="1" x14ac:dyDescent="0.3">
      <c r="B11" s="38" t="s">
        <v>12</v>
      </c>
      <c r="C11" s="42">
        <v>390</v>
      </c>
      <c r="D11" s="42">
        <v>434</v>
      </c>
      <c r="E11" s="40">
        <f t="shared" si="0"/>
        <v>2.985485313338378E-2</v>
      </c>
      <c r="F11" s="42">
        <v>481</v>
      </c>
      <c r="G11" s="41">
        <f t="shared" si="1"/>
        <v>2.7879209412855734E-2</v>
      </c>
      <c r="I11" s="32" t="s">
        <v>154</v>
      </c>
      <c r="J11" s="36" t="s">
        <v>156</v>
      </c>
    </row>
    <row r="12" spans="2:10" ht="15" customHeight="1" x14ac:dyDescent="0.3">
      <c r="B12" s="38" t="s">
        <v>13</v>
      </c>
      <c r="C12" s="42">
        <v>2359</v>
      </c>
      <c r="D12" s="42">
        <v>2664</v>
      </c>
      <c r="E12" s="40">
        <f t="shared" si="0"/>
        <v>0.18325651785100089</v>
      </c>
      <c r="F12" s="42">
        <v>3021</v>
      </c>
      <c r="G12" s="41">
        <f t="shared" si="1"/>
        <v>0.17509998261171969</v>
      </c>
      <c r="I12" s="32" t="s">
        <v>163</v>
      </c>
      <c r="J12" s="36" t="s">
        <v>157</v>
      </c>
    </row>
    <row r="13" spans="2:10" ht="15" customHeight="1" x14ac:dyDescent="0.3">
      <c r="B13" s="38" t="s">
        <v>14</v>
      </c>
      <c r="C13" s="42">
        <v>2152</v>
      </c>
      <c r="D13" s="42">
        <v>3868</v>
      </c>
      <c r="E13" s="40">
        <f t="shared" si="0"/>
        <v>0.2660796588016785</v>
      </c>
      <c r="F13" s="42">
        <v>4796</v>
      </c>
      <c r="G13" s="41">
        <f t="shared" si="1"/>
        <v>0.27798064104793369</v>
      </c>
      <c r="I13" s="32" t="s">
        <v>161</v>
      </c>
      <c r="J13" s="36" t="s">
        <v>157</v>
      </c>
    </row>
    <row r="14" spans="2:10" ht="15" customHeight="1" x14ac:dyDescent="0.3">
      <c r="B14" s="38" t="s">
        <v>15</v>
      </c>
      <c r="C14" s="42">
        <v>155</v>
      </c>
      <c r="D14" s="42">
        <v>198</v>
      </c>
      <c r="E14" s="40">
        <f t="shared" si="0"/>
        <v>1.3620416867304121E-2</v>
      </c>
      <c r="F14" s="42">
        <v>234</v>
      </c>
      <c r="G14" s="41">
        <f t="shared" si="1"/>
        <v>1.3562858633281168E-2</v>
      </c>
      <c r="I14" s="32" t="s">
        <v>160</v>
      </c>
      <c r="J14" s="36" t="s">
        <v>157</v>
      </c>
    </row>
    <row r="15" spans="2:10" ht="15" customHeight="1" x14ac:dyDescent="0.3">
      <c r="B15" s="38" t="s">
        <v>16</v>
      </c>
      <c r="C15" s="42">
        <v>16</v>
      </c>
      <c r="D15" s="42">
        <v>61</v>
      </c>
      <c r="E15" s="40">
        <f t="shared" si="0"/>
        <v>4.1961890348765222E-3</v>
      </c>
      <c r="F15" s="42">
        <v>132</v>
      </c>
      <c r="G15" s="41">
        <f t="shared" si="1"/>
        <v>7.6508433315945054E-3</v>
      </c>
      <c r="I15" s="32" t="s">
        <v>158</v>
      </c>
      <c r="J15" s="36" t="s">
        <v>157</v>
      </c>
    </row>
    <row r="16" spans="2:10" ht="15" customHeight="1" x14ac:dyDescent="0.3">
      <c r="B16" s="38" t="s">
        <v>17</v>
      </c>
      <c r="C16" s="42">
        <v>2013</v>
      </c>
      <c r="D16" s="42">
        <v>3731</v>
      </c>
      <c r="E16" s="40">
        <f t="shared" si="0"/>
        <v>0.25665543096925086</v>
      </c>
      <c r="F16" s="42">
        <v>4694</v>
      </c>
      <c r="G16" s="41">
        <f t="shared" si="1"/>
        <v>0.27206862574624702</v>
      </c>
      <c r="I16" s="32" t="s">
        <v>159</v>
      </c>
      <c r="J16" s="36" t="s">
        <v>157</v>
      </c>
    </row>
    <row r="17" spans="2:10" ht="15" customHeight="1" x14ac:dyDescent="0.3">
      <c r="B17" s="38" t="s">
        <v>18</v>
      </c>
      <c r="C17" s="42">
        <v>292</v>
      </c>
      <c r="D17" s="42">
        <v>297</v>
      </c>
      <c r="E17" s="40">
        <f t="shared" si="0"/>
        <v>2.0430625300956181E-2</v>
      </c>
      <c r="F17" s="42">
        <v>1381</v>
      </c>
      <c r="G17" s="41">
        <f t="shared" si="1"/>
        <v>8.0044050310091E-2</v>
      </c>
      <c r="I17" s="32" t="s">
        <v>213</v>
      </c>
      <c r="J17" s="36" t="s">
        <v>157</v>
      </c>
    </row>
    <row r="18" spans="2:10" ht="15" customHeight="1" thickBot="1" x14ac:dyDescent="0.35">
      <c r="B18" s="38" t="s">
        <v>19</v>
      </c>
      <c r="C18" s="39">
        <v>1721</v>
      </c>
      <c r="D18" s="39">
        <v>3434</v>
      </c>
      <c r="E18" s="40">
        <f t="shared" si="0"/>
        <v>0.23622480566829471</v>
      </c>
      <c r="F18" s="39">
        <v>3313</v>
      </c>
      <c r="G18" s="41">
        <f t="shared" si="1"/>
        <v>0.19202457543615603</v>
      </c>
      <c r="I18" s="43" t="s">
        <v>214</v>
      </c>
      <c r="J18" s="44" t="s">
        <v>157</v>
      </c>
    </row>
    <row r="19" spans="2:10" ht="15" hidden="1" customHeight="1" x14ac:dyDescent="0.3">
      <c r="B19" s="37" t="s">
        <v>20</v>
      </c>
      <c r="G19" s="36"/>
    </row>
    <row r="20" spans="2:10" ht="15" hidden="1" customHeight="1" x14ac:dyDescent="0.3">
      <c r="B20" s="38" t="s">
        <v>21</v>
      </c>
      <c r="C20" s="45">
        <v>1.56</v>
      </c>
      <c r="D20" s="45">
        <v>3.2</v>
      </c>
      <c r="E20" s="45"/>
      <c r="F20" s="45">
        <v>3.27</v>
      </c>
      <c r="G20" s="46"/>
    </row>
    <row r="21" spans="2:10" ht="15" hidden="1" customHeight="1" x14ac:dyDescent="0.3">
      <c r="B21" s="38" t="s">
        <v>22</v>
      </c>
      <c r="C21" s="45">
        <v>1.54</v>
      </c>
      <c r="D21" s="45">
        <v>3.17</v>
      </c>
      <c r="E21" s="45"/>
      <c r="F21" s="45">
        <v>3.23</v>
      </c>
      <c r="G21" s="46"/>
    </row>
    <row r="22" spans="2:10" ht="15" hidden="1" customHeight="1" x14ac:dyDescent="0.3">
      <c r="B22" s="37" t="s">
        <v>23</v>
      </c>
      <c r="G22" s="36"/>
    </row>
    <row r="23" spans="2:10" ht="15" hidden="1" customHeight="1" x14ac:dyDescent="0.3">
      <c r="B23" s="38" t="s">
        <v>24</v>
      </c>
      <c r="C23" s="42">
        <v>1107</v>
      </c>
      <c r="D23" s="42">
        <v>1073</v>
      </c>
      <c r="E23" s="42"/>
      <c r="F23" s="42">
        <v>1013</v>
      </c>
      <c r="G23" s="47"/>
    </row>
    <row r="24" spans="2:10" ht="15" customHeight="1" thickBot="1" x14ac:dyDescent="0.35">
      <c r="B24" s="48" t="s">
        <v>25</v>
      </c>
      <c r="C24" s="49">
        <v>1116</v>
      </c>
      <c r="D24" s="49">
        <v>1084</v>
      </c>
      <c r="E24" s="49"/>
      <c r="F24" s="49">
        <v>1026</v>
      </c>
      <c r="G24" s="50"/>
    </row>
    <row r="25" spans="2:10" ht="15" customHeight="1" x14ac:dyDescent="0.3"/>
    <row r="26" spans="2:10" ht="15" customHeight="1" thickBot="1" x14ac:dyDescent="0.35"/>
    <row r="27" spans="2:10" ht="15" customHeight="1" x14ac:dyDescent="0.3">
      <c r="B27" s="27" t="s">
        <v>26</v>
      </c>
      <c r="C27" s="28" t="s">
        <v>4</v>
      </c>
      <c r="D27" s="28" t="s">
        <v>3</v>
      </c>
      <c r="E27" s="51" t="s">
        <v>149</v>
      </c>
      <c r="F27" s="28" t="s">
        <v>1</v>
      </c>
      <c r="G27" s="52" t="s">
        <v>150</v>
      </c>
      <c r="I27" s="30" t="s">
        <v>145</v>
      </c>
      <c r="J27" s="31" t="s">
        <v>155</v>
      </c>
    </row>
    <row r="28" spans="2:10" ht="15" customHeight="1" x14ac:dyDescent="0.3">
      <c r="B28" s="37" t="s">
        <v>27</v>
      </c>
      <c r="G28" s="36"/>
      <c r="I28" s="32"/>
      <c r="J28" s="36"/>
    </row>
    <row r="29" spans="2:10" ht="15" customHeight="1" x14ac:dyDescent="0.3">
      <c r="B29" s="38" t="s">
        <v>28</v>
      </c>
      <c r="C29" s="39">
        <v>3406</v>
      </c>
      <c r="D29" s="39">
        <v>5010</v>
      </c>
      <c r="E29" s="40">
        <f>D29/$D$5</f>
        <v>0.34463782073330124</v>
      </c>
      <c r="F29" s="39">
        <v>3440</v>
      </c>
      <c r="G29" s="41">
        <f>F29/$F$5</f>
        <v>0.19938561409609923</v>
      </c>
      <c r="I29" s="32" t="s">
        <v>164</v>
      </c>
      <c r="J29" s="36" t="s">
        <v>157</v>
      </c>
    </row>
    <row r="30" spans="2:10" ht="15" customHeight="1" x14ac:dyDescent="0.3">
      <c r="B30" s="38" t="s">
        <v>29</v>
      </c>
      <c r="C30" s="42">
        <v>343</v>
      </c>
      <c r="D30" s="42">
        <v>2266</v>
      </c>
      <c r="E30" s="40">
        <f t="shared" ref="E30:E48" si="2">D30/$D$5</f>
        <v>0.15587810414803605</v>
      </c>
      <c r="F30" s="42">
        <v>590</v>
      </c>
      <c r="G30" s="41">
        <f t="shared" ref="G30:G40" si="3">F30/$F$5</f>
        <v>3.4196951254854231E-2</v>
      </c>
      <c r="I30" s="32" t="s">
        <v>165</v>
      </c>
      <c r="J30" s="36" t="s">
        <v>157</v>
      </c>
    </row>
    <row r="31" spans="2:10" ht="15" customHeight="1" x14ac:dyDescent="0.3">
      <c r="B31" s="38" t="s">
        <v>30</v>
      </c>
      <c r="C31" s="42">
        <v>2279</v>
      </c>
      <c r="D31" s="42">
        <v>2338</v>
      </c>
      <c r="E31" s="40">
        <f t="shared" si="2"/>
        <v>0.16083098300887391</v>
      </c>
      <c r="F31" s="42">
        <v>2565</v>
      </c>
      <c r="G31" s="41">
        <f t="shared" si="3"/>
        <v>0.14866979655712051</v>
      </c>
      <c r="I31" s="32" t="s">
        <v>166</v>
      </c>
      <c r="J31" s="36" t="s">
        <v>156</v>
      </c>
    </row>
    <row r="32" spans="2:10" ht="15" customHeight="1" x14ac:dyDescent="0.3">
      <c r="B32" s="38" t="s">
        <v>31</v>
      </c>
      <c r="C32" s="42">
        <v>2050</v>
      </c>
      <c r="D32" s="42">
        <v>2930</v>
      </c>
      <c r="E32" s="40">
        <f t="shared" si="2"/>
        <v>0.20155465364242967</v>
      </c>
      <c r="F32" s="42">
        <v>3722</v>
      </c>
      <c r="G32" s="41">
        <f t="shared" si="3"/>
        <v>0.21573059757723295</v>
      </c>
      <c r="I32" s="32" t="s">
        <v>167</v>
      </c>
      <c r="J32" s="36" t="s">
        <v>156</v>
      </c>
    </row>
    <row r="33" spans="2:10" ht="15" customHeight="1" x14ac:dyDescent="0.3">
      <c r="B33" s="38" t="s">
        <v>32</v>
      </c>
      <c r="C33" s="42">
        <v>275</v>
      </c>
      <c r="D33" s="42">
        <v>374</v>
      </c>
      <c r="E33" s="40">
        <f t="shared" si="2"/>
        <v>2.572745408268556E-2</v>
      </c>
      <c r="F33" s="42">
        <v>430</v>
      </c>
      <c r="G33" s="41">
        <f t="shared" si="3"/>
        <v>2.4923201762012404E-2</v>
      </c>
      <c r="I33" s="32" t="s">
        <v>215</v>
      </c>
      <c r="J33" s="36" t="s">
        <v>157</v>
      </c>
    </row>
    <row r="34" spans="2:10" ht="15" customHeight="1" x14ac:dyDescent="0.3">
      <c r="B34" s="38" t="s">
        <v>33</v>
      </c>
      <c r="C34" s="42">
        <v>8353</v>
      </c>
      <c r="D34" s="42">
        <v>12918</v>
      </c>
      <c r="E34" s="40">
        <f t="shared" si="2"/>
        <v>0.88862901561532637</v>
      </c>
      <c r="F34" s="42">
        <v>10747</v>
      </c>
      <c r="G34" s="41">
        <f t="shared" si="3"/>
        <v>0.62290616124731935</v>
      </c>
      <c r="I34" s="32" t="s">
        <v>168</v>
      </c>
      <c r="J34" s="36" t="s">
        <v>157</v>
      </c>
    </row>
    <row r="35" spans="2:10" ht="15" customHeight="1" x14ac:dyDescent="0.3">
      <c r="B35" s="38" t="s">
        <v>34</v>
      </c>
      <c r="C35" s="42">
        <v>929</v>
      </c>
      <c r="D35" s="42">
        <v>1143</v>
      </c>
      <c r="E35" s="40">
        <f t="shared" si="2"/>
        <v>7.862695191580106E-2</v>
      </c>
      <c r="F35" s="42">
        <v>1568</v>
      </c>
      <c r="G35" s="41">
        <f t="shared" si="3"/>
        <v>9.0882745029849887E-2</v>
      </c>
      <c r="I35" s="32" t="s">
        <v>165</v>
      </c>
      <c r="J35" s="36" t="s">
        <v>157</v>
      </c>
    </row>
    <row r="36" spans="2:10" ht="15" customHeight="1" x14ac:dyDescent="0.3">
      <c r="B36" s="38" t="s">
        <v>35</v>
      </c>
      <c r="C36" s="42">
        <v>937</v>
      </c>
      <c r="D36" s="42">
        <v>1066</v>
      </c>
      <c r="E36" s="40">
        <f t="shared" si="2"/>
        <v>7.3330123134071681E-2</v>
      </c>
      <c r="F36" s="42">
        <v>1407</v>
      </c>
      <c r="G36" s="41">
        <f t="shared" si="3"/>
        <v>8.1551034602677791E-2</v>
      </c>
      <c r="I36" s="32" t="s">
        <v>171</v>
      </c>
      <c r="J36" s="36" t="s">
        <v>157</v>
      </c>
    </row>
    <row r="37" spans="2:10" ht="15" customHeight="1" x14ac:dyDescent="0.3">
      <c r="B37" s="38" t="s">
        <v>36</v>
      </c>
      <c r="C37" s="42">
        <v>3316</v>
      </c>
      <c r="D37" s="42">
        <v>3368</v>
      </c>
      <c r="E37" s="40">
        <f t="shared" si="2"/>
        <v>0.23168466671252666</v>
      </c>
      <c r="F37" s="42">
        <v>3368</v>
      </c>
      <c r="G37" s="41">
        <f t="shared" si="3"/>
        <v>0.19521242682432041</v>
      </c>
      <c r="I37" s="32" t="s">
        <v>169</v>
      </c>
      <c r="J37" s="36" t="s">
        <v>157</v>
      </c>
    </row>
    <row r="38" spans="2:10" ht="15" customHeight="1" x14ac:dyDescent="0.3">
      <c r="B38" s="38" t="s">
        <v>37</v>
      </c>
      <c r="C38" s="42">
        <v>575</v>
      </c>
      <c r="D38" s="42">
        <v>412</v>
      </c>
      <c r="E38" s="40">
        <f t="shared" si="2"/>
        <v>2.8341473481461099E-2</v>
      </c>
      <c r="F38" s="42">
        <v>213</v>
      </c>
      <c r="G38" s="41">
        <f t="shared" si="3"/>
        <v>1.2345679012345678E-2</v>
      </c>
      <c r="I38" s="32" t="s">
        <v>170</v>
      </c>
      <c r="J38" s="36" t="s">
        <v>157</v>
      </c>
    </row>
    <row r="39" spans="2:10" ht="15" customHeight="1" x14ac:dyDescent="0.3">
      <c r="B39" s="38" t="s">
        <v>38</v>
      </c>
      <c r="C39" s="42">
        <v>460</v>
      </c>
      <c r="D39" s="42">
        <v>512</v>
      </c>
      <c r="E39" s="40">
        <f t="shared" si="2"/>
        <v>3.5220471899291464E-2</v>
      </c>
      <c r="F39" s="42">
        <v>470</v>
      </c>
      <c r="G39" s="41">
        <f t="shared" si="3"/>
        <v>2.7241639135222859E-2</v>
      </c>
      <c r="I39" s="32" t="s">
        <v>172</v>
      </c>
      <c r="J39" s="36" t="s">
        <v>157</v>
      </c>
    </row>
    <row r="40" spans="2:10" ht="15" customHeight="1" x14ac:dyDescent="0.3">
      <c r="B40" s="38" t="s">
        <v>39</v>
      </c>
      <c r="C40" s="42">
        <v>14570</v>
      </c>
      <c r="D40" s="42">
        <v>19419</v>
      </c>
      <c r="E40" s="40">
        <f t="shared" si="2"/>
        <v>1.3358327027584784</v>
      </c>
      <c r="F40" s="42">
        <v>17773</v>
      </c>
      <c r="G40" s="41">
        <f t="shared" si="3"/>
        <v>1.030139685851736</v>
      </c>
      <c r="I40" s="32" t="s">
        <v>173</v>
      </c>
      <c r="J40" s="36" t="s">
        <v>157</v>
      </c>
    </row>
    <row r="41" spans="2:10" ht="15" customHeight="1" x14ac:dyDescent="0.3">
      <c r="B41" s="37" t="s">
        <v>40</v>
      </c>
      <c r="G41" s="36"/>
      <c r="I41" s="32"/>
      <c r="J41" s="36"/>
    </row>
    <row r="42" spans="2:10" ht="15" customHeight="1" x14ac:dyDescent="0.3">
      <c r="B42" s="38" t="s">
        <v>41</v>
      </c>
      <c r="C42" s="42">
        <v>2256</v>
      </c>
      <c r="D42" s="42">
        <v>2450</v>
      </c>
      <c r="E42" s="40">
        <f t="shared" si="2"/>
        <v>0.1685354612368439</v>
      </c>
      <c r="F42" s="42">
        <v>2721</v>
      </c>
      <c r="G42" s="41">
        <f t="shared" ref="G42:G48" si="4">F42/$F$5</f>
        <v>0.15771170231264128</v>
      </c>
      <c r="I42" s="32" t="s">
        <v>174</v>
      </c>
      <c r="J42" s="36" t="s">
        <v>156</v>
      </c>
    </row>
    <row r="43" spans="2:10" ht="15" customHeight="1" x14ac:dyDescent="0.3">
      <c r="B43" s="38" t="s">
        <v>42</v>
      </c>
      <c r="C43" s="42">
        <v>1376</v>
      </c>
      <c r="D43" s="42">
        <v>1665</v>
      </c>
      <c r="E43" s="40">
        <f t="shared" si="2"/>
        <v>0.11453532365687556</v>
      </c>
      <c r="F43" s="42">
        <v>1347</v>
      </c>
      <c r="G43" s="41">
        <f t="shared" si="4"/>
        <v>7.8073378542862115E-2</v>
      </c>
      <c r="I43" s="32" t="s">
        <v>175</v>
      </c>
      <c r="J43" s="36" t="s">
        <v>157</v>
      </c>
    </row>
    <row r="44" spans="2:10" ht="15" customHeight="1" x14ac:dyDescent="0.3">
      <c r="B44" s="38" t="s">
        <v>43</v>
      </c>
      <c r="C44" s="42">
        <v>3632</v>
      </c>
      <c r="D44" s="42">
        <v>4115</v>
      </c>
      <c r="E44" s="40">
        <f t="shared" si="2"/>
        <v>0.28307078489371945</v>
      </c>
      <c r="F44" s="42">
        <v>4068</v>
      </c>
      <c r="G44" s="41">
        <f t="shared" si="4"/>
        <v>0.2357850808555034</v>
      </c>
      <c r="I44" s="32" t="s">
        <v>176</v>
      </c>
      <c r="J44" s="36" t="s">
        <v>157</v>
      </c>
    </row>
    <row r="45" spans="2:10" ht="15" customHeight="1" x14ac:dyDescent="0.3">
      <c r="B45" s="38" t="s">
        <v>44</v>
      </c>
      <c r="C45" s="42">
        <v>3125</v>
      </c>
      <c r="D45" s="42">
        <v>5304</v>
      </c>
      <c r="E45" s="40">
        <f t="shared" si="2"/>
        <v>0.3648620760817225</v>
      </c>
      <c r="F45" s="42">
        <v>5309</v>
      </c>
      <c r="G45" s="41">
        <f t="shared" si="4"/>
        <v>0.30771460035935777</v>
      </c>
      <c r="I45" s="32" t="s">
        <v>177</v>
      </c>
      <c r="J45" s="36" t="s">
        <v>157</v>
      </c>
    </row>
    <row r="46" spans="2:10" ht="15" customHeight="1" x14ac:dyDescent="0.3">
      <c r="B46" s="38" t="s">
        <v>99</v>
      </c>
      <c r="C46" s="42"/>
      <c r="D46" s="42">
        <v>392</v>
      </c>
      <c r="E46" s="40">
        <f t="shared" si="2"/>
        <v>2.6965673797895027E-2</v>
      </c>
      <c r="F46" s="42">
        <v>1254</v>
      </c>
      <c r="G46" s="41">
        <f t="shared" si="4"/>
        <v>7.2683011650147802E-2</v>
      </c>
      <c r="I46" s="32" t="s">
        <v>178</v>
      </c>
      <c r="J46" s="36" t="s">
        <v>157</v>
      </c>
    </row>
    <row r="47" spans="2:10" ht="15" customHeight="1" x14ac:dyDescent="0.3">
      <c r="B47" s="38" t="s">
        <v>46</v>
      </c>
      <c r="C47" s="42">
        <v>596</v>
      </c>
      <c r="D47" s="42">
        <v>259</v>
      </c>
      <c r="E47" s="40">
        <f t="shared" si="2"/>
        <v>1.7816605902180642E-2</v>
      </c>
      <c r="F47" s="42">
        <v>303</v>
      </c>
      <c r="G47" s="41">
        <f t="shared" si="4"/>
        <v>1.7562163102069206E-2</v>
      </c>
      <c r="I47" s="32" t="s">
        <v>180</v>
      </c>
      <c r="J47" s="36" t="s">
        <v>157</v>
      </c>
    </row>
    <row r="48" spans="2:10" ht="15" customHeight="1" x14ac:dyDescent="0.3">
      <c r="B48" s="38" t="s">
        <v>47</v>
      </c>
      <c r="C48" s="42">
        <v>7353</v>
      </c>
      <c r="D48" s="42">
        <v>10070</v>
      </c>
      <c r="E48" s="40">
        <f t="shared" si="2"/>
        <v>0.69271514067551765</v>
      </c>
      <c r="F48" s="42">
        <v>10934</v>
      </c>
      <c r="G48" s="41">
        <f t="shared" si="4"/>
        <v>0.63374485596707819</v>
      </c>
      <c r="I48" s="32" t="s">
        <v>179</v>
      </c>
      <c r="J48" s="36" t="s">
        <v>157</v>
      </c>
    </row>
    <row r="49" spans="2:10" ht="15" customHeight="1" x14ac:dyDescent="0.3">
      <c r="B49" s="38" t="s">
        <v>48</v>
      </c>
      <c r="C49" s="53" t="s">
        <v>49</v>
      </c>
      <c r="D49" s="53" t="s">
        <v>49</v>
      </c>
      <c r="E49" s="53"/>
      <c r="F49" s="53" t="s">
        <v>49</v>
      </c>
      <c r="G49" s="36"/>
      <c r="I49" s="32"/>
      <c r="J49" s="36"/>
    </row>
    <row r="50" spans="2:10" ht="15" customHeight="1" x14ac:dyDescent="0.3">
      <c r="B50" s="37" t="s">
        <v>50</v>
      </c>
      <c r="G50" s="36"/>
      <c r="I50" s="32"/>
      <c r="J50" s="36"/>
    </row>
    <row r="51" spans="2:10" ht="15" hidden="1" customHeight="1" x14ac:dyDescent="0.3">
      <c r="B51" s="38" t="s">
        <v>51</v>
      </c>
      <c r="C51" s="42">
        <v>0</v>
      </c>
      <c r="D51" s="42">
        <v>0</v>
      </c>
      <c r="E51" s="42"/>
      <c r="F51" s="42">
        <v>0</v>
      </c>
      <c r="G51" s="47"/>
      <c r="I51" s="32"/>
      <c r="J51" s="36"/>
    </row>
    <row r="52" spans="2:10" ht="15" hidden="1" customHeight="1" x14ac:dyDescent="0.3">
      <c r="B52" s="38" t="s">
        <v>52</v>
      </c>
      <c r="C52" s="42">
        <v>11</v>
      </c>
      <c r="D52" s="42">
        <v>11</v>
      </c>
      <c r="E52" s="42"/>
      <c r="F52" s="42">
        <v>10</v>
      </c>
      <c r="G52" s="47"/>
      <c r="I52" s="32"/>
      <c r="J52" s="36"/>
    </row>
    <row r="53" spans="2:10" ht="15" hidden="1" customHeight="1" x14ac:dyDescent="0.3">
      <c r="B53" s="38" t="s">
        <v>53</v>
      </c>
      <c r="C53" s="42">
        <v>6809</v>
      </c>
      <c r="D53" s="42">
        <v>7056</v>
      </c>
      <c r="E53" s="42"/>
      <c r="F53" s="42">
        <v>7274</v>
      </c>
      <c r="G53" s="47"/>
      <c r="I53" s="32"/>
      <c r="J53" s="36"/>
    </row>
    <row r="54" spans="2:10" ht="15" hidden="1" customHeight="1" x14ac:dyDescent="0.3">
      <c r="B54" s="38" t="s">
        <v>54</v>
      </c>
      <c r="C54" s="42">
        <v>15252</v>
      </c>
      <c r="D54" s="42">
        <v>18258</v>
      </c>
      <c r="E54" s="42"/>
      <c r="F54" s="42">
        <v>20874</v>
      </c>
      <c r="G54" s="47"/>
      <c r="I54" s="32"/>
      <c r="J54" s="36"/>
    </row>
    <row r="55" spans="2:10" ht="15" hidden="1" customHeight="1" x14ac:dyDescent="0.3">
      <c r="B55" s="38" t="s">
        <v>55</v>
      </c>
      <c r="C55" s="42">
        <v>-14740</v>
      </c>
      <c r="D55" s="42">
        <v>-15912</v>
      </c>
      <c r="E55" s="42"/>
      <c r="F55" s="42">
        <v>-21194</v>
      </c>
      <c r="G55" s="47"/>
      <c r="I55" s="32"/>
      <c r="J55" s="36"/>
    </row>
    <row r="56" spans="2:10" ht="15" hidden="1" customHeight="1" x14ac:dyDescent="0.3">
      <c r="B56" s="38" t="s">
        <v>56</v>
      </c>
      <c r="C56" s="42">
        <v>-115</v>
      </c>
      <c r="D56" s="42">
        <v>-64</v>
      </c>
      <c r="E56" s="42"/>
      <c r="F56" s="42">
        <v>-125</v>
      </c>
      <c r="G56" s="47"/>
      <c r="I56" s="32"/>
      <c r="J56" s="36"/>
    </row>
    <row r="57" spans="2:10" ht="15" customHeight="1" x14ac:dyDescent="0.3">
      <c r="B57" s="38" t="s">
        <v>57</v>
      </c>
      <c r="C57" s="42">
        <v>7217</v>
      </c>
      <c r="D57" s="42">
        <v>9349</v>
      </c>
      <c r="E57" s="40">
        <f t="shared" ref="E57" si="5">D57/$D$5</f>
        <v>0.64311756208296067</v>
      </c>
      <c r="F57" s="42">
        <v>6839</v>
      </c>
      <c r="G57" s="41">
        <f>F57/$F$5</f>
        <v>0.39639482988465774</v>
      </c>
      <c r="I57" s="32" t="s">
        <v>181</v>
      </c>
      <c r="J57" s="36" t="s">
        <v>157</v>
      </c>
    </row>
    <row r="58" spans="2:10" ht="15" hidden="1" customHeight="1" x14ac:dyDescent="0.3">
      <c r="B58" s="38" t="s">
        <v>58</v>
      </c>
      <c r="C58" s="39">
        <v>14570</v>
      </c>
      <c r="D58" s="39">
        <v>19419</v>
      </c>
      <c r="E58" s="39"/>
      <c r="F58" s="39">
        <v>17773</v>
      </c>
      <c r="G58" s="54"/>
      <c r="I58" s="32"/>
      <c r="J58" s="36"/>
    </row>
    <row r="59" spans="2:10" ht="15" hidden="1" customHeight="1" x14ac:dyDescent="0.3">
      <c r="B59" s="32"/>
      <c r="G59" s="36"/>
      <c r="I59" s="32"/>
      <c r="J59" s="36"/>
    </row>
    <row r="60" spans="2:10" ht="15" customHeight="1" thickBot="1" x14ac:dyDescent="0.35">
      <c r="B60" s="55" t="s">
        <v>100</v>
      </c>
      <c r="C60" s="56"/>
      <c r="D60" s="56"/>
      <c r="E60" s="56"/>
      <c r="F60" s="56"/>
      <c r="G60" s="44"/>
      <c r="I60" s="43"/>
      <c r="J60" s="44"/>
    </row>
  </sheetData>
  <mergeCells count="2">
    <mergeCell ref="B2:B3"/>
    <mergeCell ref="C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82ED-1CF4-440F-94A3-49A16D779746}">
  <sheetPr>
    <tabColor rgb="FFFFFF00"/>
  </sheetPr>
  <dimension ref="B1:P147"/>
  <sheetViews>
    <sheetView topLeftCell="A116" zoomScale="72" zoomScaleNormal="72" workbookViewId="0">
      <selection activeCell="B150" sqref="B150"/>
    </sheetView>
  </sheetViews>
  <sheetFormatPr defaultRowHeight="15.6" x14ac:dyDescent="0.3"/>
  <cols>
    <col min="1" max="1" width="2.109375" style="15" customWidth="1"/>
    <col min="2" max="2" width="80" style="15" customWidth="1"/>
    <col min="3" max="5" width="14" style="15" customWidth="1"/>
    <col min="6" max="6" width="4.109375" style="15" customWidth="1"/>
    <col min="7" max="7" width="133.88671875" style="15" bestFit="1" customWidth="1"/>
    <col min="8" max="16384" width="8.88671875" style="15"/>
  </cols>
  <sheetData>
    <row r="1" spans="2:5" ht="7.8" customHeight="1" thickBot="1" x14ac:dyDescent="0.35"/>
    <row r="2" spans="2:5" ht="15" customHeight="1" x14ac:dyDescent="0.3">
      <c r="B2" s="96" t="s">
        <v>2</v>
      </c>
      <c r="C2" s="98" t="s">
        <v>0</v>
      </c>
      <c r="D2" s="98"/>
      <c r="E2" s="99"/>
    </row>
    <row r="3" spans="2:5" x14ac:dyDescent="0.3">
      <c r="B3" s="97"/>
      <c r="C3" s="33" t="s">
        <v>4</v>
      </c>
      <c r="D3" s="33" t="s">
        <v>3</v>
      </c>
      <c r="E3" s="57" t="s">
        <v>1</v>
      </c>
    </row>
    <row r="4" spans="2:5" x14ac:dyDescent="0.3">
      <c r="B4" s="37" t="s">
        <v>5</v>
      </c>
      <c r="E4" s="36"/>
    </row>
    <row r="5" spans="2:5" x14ac:dyDescent="0.3">
      <c r="B5" s="38" t="s">
        <v>6</v>
      </c>
      <c r="C5" s="39">
        <v>10825</v>
      </c>
      <c r="D5" s="39">
        <v>14537</v>
      </c>
      <c r="E5" s="54">
        <v>17253</v>
      </c>
    </row>
    <row r="6" spans="2:5" x14ac:dyDescent="0.3">
      <c r="B6" s="38" t="s">
        <v>7</v>
      </c>
      <c r="C6" s="42">
        <v>6314</v>
      </c>
      <c r="D6" s="42">
        <v>8005</v>
      </c>
      <c r="E6" s="47">
        <v>9436</v>
      </c>
    </row>
    <row r="7" spans="2:5" x14ac:dyDescent="0.3">
      <c r="B7" s="38" t="s">
        <v>8</v>
      </c>
      <c r="C7" s="42">
        <v>4511</v>
      </c>
      <c r="D7" s="42">
        <v>6532</v>
      </c>
      <c r="E7" s="47">
        <v>7817</v>
      </c>
    </row>
    <row r="8" spans="2:5" x14ac:dyDescent="0.3">
      <c r="B8" s="37" t="s">
        <v>9</v>
      </c>
      <c r="E8" s="36"/>
    </row>
    <row r="9" spans="2:5" x14ac:dyDescent="0.3">
      <c r="B9" s="38" t="s">
        <v>10</v>
      </c>
      <c r="C9" s="42">
        <v>1540</v>
      </c>
      <c r="D9" s="42">
        <v>1774</v>
      </c>
      <c r="E9" s="47">
        <v>2019</v>
      </c>
    </row>
    <row r="10" spans="2:5" x14ac:dyDescent="0.3">
      <c r="B10" s="38" t="s">
        <v>11</v>
      </c>
      <c r="C10" s="42">
        <v>429</v>
      </c>
      <c r="D10" s="42">
        <v>456</v>
      </c>
      <c r="E10" s="47">
        <v>521</v>
      </c>
    </row>
    <row r="11" spans="2:5" x14ac:dyDescent="0.3">
      <c r="B11" s="38" t="s">
        <v>12</v>
      </c>
      <c r="C11" s="42">
        <v>390</v>
      </c>
      <c r="D11" s="42">
        <v>434</v>
      </c>
      <c r="E11" s="47">
        <v>481</v>
      </c>
    </row>
    <row r="12" spans="2:5" x14ac:dyDescent="0.3">
      <c r="B12" s="38" t="s">
        <v>13</v>
      </c>
      <c r="C12" s="42">
        <v>2359</v>
      </c>
      <c r="D12" s="42">
        <v>2664</v>
      </c>
      <c r="E12" s="47">
        <v>3021</v>
      </c>
    </row>
    <row r="13" spans="2:5" x14ac:dyDescent="0.3">
      <c r="B13" s="38" t="s">
        <v>14</v>
      </c>
      <c r="C13" s="42">
        <v>2152</v>
      </c>
      <c r="D13" s="42">
        <v>3868</v>
      </c>
      <c r="E13" s="47">
        <v>4796</v>
      </c>
    </row>
    <row r="14" spans="2:5" x14ac:dyDescent="0.3">
      <c r="B14" s="38" t="s">
        <v>15</v>
      </c>
      <c r="C14" s="42">
        <v>155</v>
      </c>
      <c r="D14" s="42">
        <v>198</v>
      </c>
      <c r="E14" s="47">
        <v>234</v>
      </c>
    </row>
    <row r="15" spans="2:5" x14ac:dyDescent="0.3">
      <c r="B15" s="38" t="s">
        <v>16</v>
      </c>
      <c r="C15" s="42">
        <v>16</v>
      </c>
      <c r="D15" s="42">
        <v>61</v>
      </c>
      <c r="E15" s="47">
        <v>132</v>
      </c>
    </row>
    <row r="16" spans="2:5" x14ac:dyDescent="0.3">
      <c r="B16" s="38" t="s">
        <v>17</v>
      </c>
      <c r="C16" s="42">
        <v>2013</v>
      </c>
      <c r="D16" s="42">
        <v>3731</v>
      </c>
      <c r="E16" s="47">
        <v>4694</v>
      </c>
    </row>
    <row r="17" spans="2:5" x14ac:dyDescent="0.3">
      <c r="B17" s="38" t="s">
        <v>18</v>
      </c>
      <c r="C17" s="42">
        <v>292</v>
      </c>
      <c r="D17" s="42">
        <v>297</v>
      </c>
      <c r="E17" s="47">
        <v>1381</v>
      </c>
    </row>
    <row r="18" spans="2:5" x14ac:dyDescent="0.3">
      <c r="B18" s="38" t="s">
        <v>19</v>
      </c>
      <c r="C18" s="39">
        <v>1721</v>
      </c>
      <c r="D18" s="39">
        <v>3434</v>
      </c>
      <c r="E18" s="54">
        <v>3313</v>
      </c>
    </row>
    <row r="19" spans="2:5" x14ac:dyDescent="0.3">
      <c r="B19" s="37" t="s">
        <v>20</v>
      </c>
      <c r="E19" s="36"/>
    </row>
    <row r="20" spans="2:5" x14ac:dyDescent="0.3">
      <c r="B20" s="38" t="s">
        <v>21</v>
      </c>
      <c r="C20" s="45">
        <v>1.56</v>
      </c>
      <c r="D20" s="45">
        <v>3.2</v>
      </c>
      <c r="E20" s="46">
        <v>3.27</v>
      </c>
    </row>
    <row r="21" spans="2:5" x14ac:dyDescent="0.3">
      <c r="B21" s="38" t="s">
        <v>22</v>
      </c>
      <c r="C21" s="45">
        <v>1.54</v>
      </c>
      <c r="D21" s="45">
        <v>3.17</v>
      </c>
      <c r="E21" s="46">
        <v>3.23</v>
      </c>
    </row>
    <row r="22" spans="2:5" x14ac:dyDescent="0.3">
      <c r="B22" s="37" t="s">
        <v>23</v>
      </c>
      <c r="E22" s="36"/>
    </row>
    <row r="23" spans="2:5" x14ac:dyDescent="0.3">
      <c r="B23" s="38" t="s">
        <v>24</v>
      </c>
      <c r="C23" s="42">
        <v>1107</v>
      </c>
      <c r="D23" s="42">
        <v>1073</v>
      </c>
      <c r="E23" s="47">
        <v>1013</v>
      </c>
    </row>
    <row r="24" spans="2:5" ht="16.2" thickBot="1" x14ac:dyDescent="0.35">
      <c r="B24" s="58" t="s">
        <v>25</v>
      </c>
      <c r="C24" s="59">
        <v>1116</v>
      </c>
      <c r="D24" s="59">
        <v>1084</v>
      </c>
      <c r="E24" s="60">
        <v>1026</v>
      </c>
    </row>
    <row r="26" spans="2:5" ht="16.2" thickBot="1" x14ac:dyDescent="0.35">
      <c r="D26" s="15">
        <f>D32/C32-1</f>
        <v>0.42926829268292677</v>
      </c>
      <c r="E26" s="15">
        <f>E32/D32-1</f>
        <v>0.27030716723549486</v>
      </c>
    </row>
    <row r="27" spans="2:5" x14ac:dyDescent="0.3">
      <c r="B27" s="27" t="s">
        <v>26</v>
      </c>
      <c r="C27" s="28" t="s">
        <v>4</v>
      </c>
      <c r="D27" s="28" t="s">
        <v>3</v>
      </c>
      <c r="E27" s="29" t="s">
        <v>1</v>
      </c>
    </row>
    <row r="28" spans="2:5" x14ac:dyDescent="0.3">
      <c r="B28" s="37" t="s">
        <v>27</v>
      </c>
      <c r="E28" s="36"/>
    </row>
    <row r="29" spans="2:5" x14ac:dyDescent="0.3">
      <c r="B29" s="38" t="s">
        <v>28</v>
      </c>
      <c r="C29" s="39">
        <v>3406</v>
      </c>
      <c r="D29" s="39">
        <v>5010</v>
      </c>
      <c r="E29" s="54">
        <v>3440</v>
      </c>
    </row>
    <row r="30" spans="2:5" x14ac:dyDescent="0.3">
      <c r="B30" s="38" t="s">
        <v>29</v>
      </c>
      <c r="C30" s="42">
        <v>343</v>
      </c>
      <c r="D30" s="42">
        <v>2266</v>
      </c>
      <c r="E30" s="47">
        <v>590</v>
      </c>
    </row>
    <row r="31" spans="2:5" x14ac:dyDescent="0.3">
      <c r="B31" s="38" t="s">
        <v>30</v>
      </c>
      <c r="C31" s="42">
        <v>2279</v>
      </c>
      <c r="D31" s="42">
        <v>2338</v>
      </c>
      <c r="E31" s="47">
        <v>2565</v>
      </c>
    </row>
    <row r="32" spans="2:5" x14ac:dyDescent="0.3">
      <c r="B32" s="38" t="s">
        <v>31</v>
      </c>
      <c r="C32" s="42">
        <v>2050</v>
      </c>
      <c r="D32" s="42">
        <v>2930</v>
      </c>
      <c r="E32" s="47">
        <v>3722</v>
      </c>
    </row>
    <row r="33" spans="2:5" x14ac:dyDescent="0.3">
      <c r="B33" s="38" t="s">
        <v>32</v>
      </c>
      <c r="C33" s="42">
        <v>275</v>
      </c>
      <c r="D33" s="42">
        <v>374</v>
      </c>
      <c r="E33" s="47">
        <v>430</v>
      </c>
    </row>
    <row r="34" spans="2:5" x14ac:dyDescent="0.3">
      <c r="B34" s="38" t="s">
        <v>33</v>
      </c>
      <c r="C34" s="42">
        <v>8353</v>
      </c>
      <c r="D34" s="42">
        <v>12918</v>
      </c>
      <c r="E34" s="47">
        <v>10747</v>
      </c>
    </row>
    <row r="35" spans="2:5" x14ac:dyDescent="0.3">
      <c r="B35" s="38" t="s">
        <v>34</v>
      </c>
      <c r="C35" s="42">
        <v>929</v>
      </c>
      <c r="D35" s="42">
        <v>1143</v>
      </c>
      <c r="E35" s="47">
        <v>1568</v>
      </c>
    </row>
    <row r="36" spans="2:5" x14ac:dyDescent="0.3">
      <c r="B36" s="38" t="s">
        <v>35</v>
      </c>
      <c r="C36" s="42">
        <v>937</v>
      </c>
      <c r="D36" s="42">
        <v>1066</v>
      </c>
      <c r="E36" s="47">
        <v>1407</v>
      </c>
    </row>
    <row r="37" spans="2:5" x14ac:dyDescent="0.3">
      <c r="B37" s="38" t="s">
        <v>36</v>
      </c>
      <c r="C37" s="42">
        <v>3316</v>
      </c>
      <c r="D37" s="42">
        <v>3368</v>
      </c>
      <c r="E37" s="47">
        <v>3368</v>
      </c>
    </row>
    <row r="38" spans="2:5" x14ac:dyDescent="0.3">
      <c r="B38" s="38" t="s">
        <v>37</v>
      </c>
      <c r="C38" s="42">
        <v>575</v>
      </c>
      <c r="D38" s="42">
        <v>412</v>
      </c>
      <c r="E38" s="47">
        <v>213</v>
      </c>
    </row>
    <row r="39" spans="2:5" x14ac:dyDescent="0.3">
      <c r="B39" s="38" t="s">
        <v>38</v>
      </c>
      <c r="C39" s="42">
        <v>460</v>
      </c>
      <c r="D39" s="42">
        <v>512</v>
      </c>
      <c r="E39" s="47">
        <v>470</v>
      </c>
    </row>
    <row r="40" spans="2:5" x14ac:dyDescent="0.3">
      <c r="B40" s="38" t="s">
        <v>39</v>
      </c>
      <c r="C40" s="42">
        <v>14570</v>
      </c>
      <c r="D40" s="42">
        <v>19419</v>
      </c>
      <c r="E40" s="47">
        <v>17773</v>
      </c>
    </row>
    <row r="41" spans="2:5" x14ac:dyDescent="0.3">
      <c r="B41" s="37" t="s">
        <v>40</v>
      </c>
      <c r="E41" s="36"/>
    </row>
    <row r="42" spans="2:5" x14ac:dyDescent="0.3">
      <c r="B42" s="38" t="s">
        <v>41</v>
      </c>
      <c r="C42" s="42">
        <v>2256</v>
      </c>
      <c r="D42" s="42">
        <v>2450</v>
      </c>
      <c r="E42" s="47">
        <v>2721</v>
      </c>
    </row>
    <row r="43" spans="2:5" x14ac:dyDescent="0.3">
      <c r="B43" s="38" t="s">
        <v>42</v>
      </c>
      <c r="C43" s="42">
        <v>1376</v>
      </c>
      <c r="D43" s="42">
        <v>1665</v>
      </c>
      <c r="E43" s="47">
        <v>1347</v>
      </c>
    </row>
    <row r="44" spans="2:5" x14ac:dyDescent="0.3">
      <c r="B44" s="38" t="s">
        <v>43</v>
      </c>
      <c r="C44" s="42">
        <v>3632</v>
      </c>
      <c r="D44" s="42">
        <v>4115</v>
      </c>
      <c r="E44" s="47">
        <v>4068</v>
      </c>
    </row>
    <row r="45" spans="2:5" x14ac:dyDescent="0.3">
      <c r="B45" s="38" t="s">
        <v>44</v>
      </c>
      <c r="C45" s="42">
        <v>3125</v>
      </c>
      <c r="D45" s="42">
        <v>5304</v>
      </c>
      <c r="E45" s="47">
        <v>5309</v>
      </c>
    </row>
    <row r="46" spans="2:5" x14ac:dyDescent="0.3">
      <c r="B46" s="38" t="s">
        <v>99</v>
      </c>
      <c r="C46" s="42"/>
      <c r="D46" s="42">
        <v>392</v>
      </c>
      <c r="E46" s="47">
        <v>1254</v>
      </c>
    </row>
    <row r="47" spans="2:5" x14ac:dyDescent="0.3">
      <c r="B47" s="38" t="s">
        <v>46</v>
      </c>
      <c r="C47" s="42">
        <v>596</v>
      </c>
      <c r="D47" s="42">
        <v>259</v>
      </c>
      <c r="E47" s="47">
        <v>303</v>
      </c>
    </row>
    <row r="48" spans="2:5" x14ac:dyDescent="0.3">
      <c r="B48" s="38" t="s">
        <v>47</v>
      </c>
      <c r="C48" s="42">
        <v>7353</v>
      </c>
      <c r="D48" s="42">
        <v>10070</v>
      </c>
      <c r="E48" s="47">
        <v>10934</v>
      </c>
    </row>
    <row r="49" spans="2:5" x14ac:dyDescent="0.3">
      <c r="B49" s="38" t="s">
        <v>48</v>
      </c>
      <c r="C49" s="53" t="s">
        <v>49</v>
      </c>
      <c r="D49" s="53" t="s">
        <v>49</v>
      </c>
      <c r="E49" s="61" t="s">
        <v>49</v>
      </c>
    </row>
    <row r="50" spans="2:5" x14ac:dyDescent="0.3">
      <c r="B50" s="37" t="s">
        <v>50</v>
      </c>
      <c r="E50" s="36"/>
    </row>
    <row r="51" spans="2:5" x14ac:dyDescent="0.3">
      <c r="B51" s="38" t="s">
        <v>51</v>
      </c>
      <c r="C51" s="42">
        <v>0</v>
      </c>
      <c r="D51" s="42">
        <v>0</v>
      </c>
      <c r="E51" s="47">
        <v>0</v>
      </c>
    </row>
    <row r="52" spans="2:5" ht="31.2" x14ac:dyDescent="0.3">
      <c r="B52" s="38" t="s">
        <v>52</v>
      </c>
      <c r="C52" s="42">
        <v>11</v>
      </c>
      <c r="D52" s="42">
        <v>11</v>
      </c>
      <c r="E52" s="47">
        <v>10</v>
      </c>
    </row>
    <row r="53" spans="2:5" x14ac:dyDescent="0.3">
      <c r="B53" s="38" t="s">
        <v>53</v>
      </c>
      <c r="C53" s="42">
        <v>6809</v>
      </c>
      <c r="D53" s="42">
        <v>7056</v>
      </c>
      <c r="E53" s="47">
        <v>7274</v>
      </c>
    </row>
    <row r="54" spans="2:5" x14ac:dyDescent="0.3">
      <c r="B54" s="38" t="s">
        <v>54</v>
      </c>
      <c r="C54" s="42">
        <v>15252</v>
      </c>
      <c r="D54" s="42">
        <v>18258</v>
      </c>
      <c r="E54" s="47">
        <v>20874</v>
      </c>
    </row>
    <row r="55" spans="2:5" x14ac:dyDescent="0.3">
      <c r="B55" s="38" t="s">
        <v>55</v>
      </c>
      <c r="C55" s="42">
        <v>-14740</v>
      </c>
      <c r="D55" s="42">
        <v>-15912</v>
      </c>
      <c r="E55" s="47">
        <v>-21194</v>
      </c>
    </row>
    <row r="56" spans="2:5" x14ac:dyDescent="0.3">
      <c r="B56" s="38" t="s">
        <v>56</v>
      </c>
      <c r="C56" s="42">
        <v>-115</v>
      </c>
      <c r="D56" s="42">
        <v>-64</v>
      </c>
      <c r="E56" s="47">
        <v>-125</v>
      </c>
    </row>
    <row r="57" spans="2:5" x14ac:dyDescent="0.3">
      <c r="B57" s="38" t="s">
        <v>57</v>
      </c>
      <c r="C57" s="42">
        <v>7217</v>
      </c>
      <c r="D57" s="42">
        <v>9349</v>
      </c>
      <c r="E57" s="47">
        <v>6839</v>
      </c>
    </row>
    <row r="58" spans="2:5" x14ac:dyDescent="0.3">
      <c r="B58" s="38" t="s">
        <v>58</v>
      </c>
      <c r="C58" s="39">
        <v>14570</v>
      </c>
      <c r="D58" s="39">
        <v>19419</v>
      </c>
      <c r="E58" s="54">
        <v>17773</v>
      </c>
    </row>
    <row r="59" spans="2:5" x14ac:dyDescent="0.3">
      <c r="B59" s="32"/>
      <c r="E59" s="36"/>
    </row>
    <row r="60" spans="2:5" ht="31.8" thickBot="1" x14ac:dyDescent="0.35">
      <c r="B60" s="62" t="s">
        <v>100</v>
      </c>
      <c r="C60" s="56"/>
      <c r="D60" s="56"/>
      <c r="E60" s="44"/>
    </row>
    <row r="62" spans="2:5" ht="16.2" thickBot="1" x14ac:dyDescent="0.35"/>
    <row r="63" spans="2:5" x14ac:dyDescent="0.3">
      <c r="B63" s="27" t="s">
        <v>59</v>
      </c>
      <c r="C63" s="28" t="s">
        <v>4</v>
      </c>
      <c r="D63" s="28" t="s">
        <v>3</v>
      </c>
      <c r="E63" s="29" t="s">
        <v>1</v>
      </c>
    </row>
    <row r="64" spans="2:5" x14ac:dyDescent="0.3">
      <c r="B64" s="37" t="s">
        <v>50</v>
      </c>
      <c r="E64" s="36"/>
    </row>
    <row r="65" spans="2:5" x14ac:dyDescent="0.3">
      <c r="B65" s="38" t="s">
        <v>60</v>
      </c>
      <c r="C65" s="45">
        <v>0.01</v>
      </c>
      <c r="D65" s="45">
        <v>0.01</v>
      </c>
      <c r="E65" s="46">
        <v>0.01</v>
      </c>
    </row>
    <row r="66" spans="2:5" x14ac:dyDescent="0.3">
      <c r="B66" s="38" t="s">
        <v>61</v>
      </c>
      <c r="C66" s="42">
        <v>1000000</v>
      </c>
      <c r="D66" s="42">
        <v>1000000</v>
      </c>
      <c r="E66" s="47">
        <v>1000000</v>
      </c>
    </row>
    <row r="67" spans="2:5" x14ac:dyDescent="0.3">
      <c r="B67" s="38" t="s">
        <v>62</v>
      </c>
      <c r="C67" s="42">
        <v>0</v>
      </c>
      <c r="D67" s="42">
        <v>0</v>
      </c>
      <c r="E67" s="47">
        <v>0</v>
      </c>
    </row>
    <row r="68" spans="2:5" x14ac:dyDescent="0.3">
      <c r="B68" s="38" t="s">
        <v>63</v>
      </c>
      <c r="C68" s="45">
        <v>0.01</v>
      </c>
      <c r="D68" s="45">
        <v>0.01</v>
      </c>
      <c r="E68" s="46">
        <v>0.01</v>
      </c>
    </row>
    <row r="69" spans="2:5" x14ac:dyDescent="0.3">
      <c r="B69" s="38" t="s">
        <v>64</v>
      </c>
      <c r="C69" s="42">
        <v>2500000000</v>
      </c>
      <c r="D69" s="42">
        <v>2500000000</v>
      </c>
      <c r="E69" s="47">
        <v>2500000000</v>
      </c>
    </row>
    <row r="70" spans="2:5" x14ac:dyDescent="0.3">
      <c r="B70" s="38" t="s">
        <v>65</v>
      </c>
      <c r="C70" s="42">
        <v>1078000000</v>
      </c>
      <c r="D70" s="42">
        <v>1060000000</v>
      </c>
      <c r="E70" s="47">
        <v>967000000</v>
      </c>
    </row>
    <row r="71" spans="2:5" x14ac:dyDescent="0.3">
      <c r="B71" s="38" t="s">
        <v>66</v>
      </c>
      <c r="C71" s="42">
        <v>889000000</v>
      </c>
      <c r="D71" s="42">
        <v>917000000</v>
      </c>
      <c r="E71" s="47">
        <v>1019000000</v>
      </c>
    </row>
    <row r="72" spans="2:5" x14ac:dyDescent="0.3">
      <c r="B72" s="32"/>
      <c r="E72" s="36"/>
    </row>
    <row r="73" spans="2:5" ht="16.2" thickBot="1" x14ac:dyDescent="0.35">
      <c r="B73" s="58" t="s">
        <v>101</v>
      </c>
      <c r="C73" s="63">
        <v>29.08</v>
      </c>
      <c r="D73" s="63">
        <v>56.43</v>
      </c>
      <c r="E73" s="64">
        <v>32.880000000000003</v>
      </c>
    </row>
    <row r="75" spans="2:5" ht="16.2" thickBot="1" x14ac:dyDescent="0.35"/>
    <row r="76" spans="2:5" x14ac:dyDescent="0.3">
      <c r="B76" s="96" t="s">
        <v>69</v>
      </c>
      <c r="C76" s="98" t="s">
        <v>0</v>
      </c>
      <c r="D76" s="98"/>
      <c r="E76" s="99"/>
    </row>
    <row r="77" spans="2:5" x14ac:dyDescent="0.3">
      <c r="B77" s="97"/>
      <c r="C77" s="33" t="s">
        <v>4</v>
      </c>
      <c r="D77" s="33" t="s">
        <v>3</v>
      </c>
      <c r="E77" s="57" t="s">
        <v>1</v>
      </c>
    </row>
    <row r="78" spans="2:5" x14ac:dyDescent="0.3">
      <c r="B78" s="37" t="s">
        <v>70</v>
      </c>
      <c r="E78" s="36"/>
    </row>
    <row r="79" spans="2:5" x14ac:dyDescent="0.3">
      <c r="B79" s="38" t="s">
        <v>19</v>
      </c>
      <c r="C79" s="39">
        <v>1721</v>
      </c>
      <c r="D79" s="39">
        <v>3434</v>
      </c>
      <c r="E79" s="54">
        <v>3313</v>
      </c>
    </row>
    <row r="80" spans="2:5" ht="31.2" x14ac:dyDescent="0.3">
      <c r="B80" s="37" t="s">
        <v>71</v>
      </c>
      <c r="E80" s="36"/>
    </row>
    <row r="81" spans="2:5" x14ac:dyDescent="0.3">
      <c r="B81" s="38" t="s">
        <v>72</v>
      </c>
      <c r="C81" s="42">
        <v>389</v>
      </c>
      <c r="D81" s="42">
        <v>407</v>
      </c>
      <c r="E81" s="47">
        <v>457</v>
      </c>
    </row>
    <row r="82" spans="2:5" x14ac:dyDescent="0.3">
      <c r="B82" s="38" t="s">
        <v>73</v>
      </c>
      <c r="C82" s="42">
        <v>21</v>
      </c>
      <c r="D82" s="42">
        <v>-11</v>
      </c>
      <c r="E82" s="47">
        <v>94</v>
      </c>
    </row>
    <row r="83" spans="2:5" x14ac:dyDescent="0.3">
      <c r="B83" s="38" t="s">
        <v>74</v>
      </c>
      <c r="C83" s="42">
        <v>38</v>
      </c>
      <c r="D83" s="42">
        <v>-9</v>
      </c>
      <c r="E83" s="47">
        <v>4</v>
      </c>
    </row>
    <row r="84" spans="2:5" x14ac:dyDescent="0.3">
      <c r="B84" s="38" t="s">
        <v>67</v>
      </c>
      <c r="C84" s="42">
        <v>201</v>
      </c>
      <c r="D84" s="42">
        <v>220</v>
      </c>
      <c r="E84" s="47">
        <v>258</v>
      </c>
    </row>
    <row r="85" spans="2:5" x14ac:dyDescent="0.3">
      <c r="B85" s="37" t="s">
        <v>75</v>
      </c>
      <c r="E85" s="36"/>
    </row>
    <row r="86" spans="2:5" x14ac:dyDescent="0.3">
      <c r="B86" s="38" t="s">
        <v>76</v>
      </c>
      <c r="C86" s="42">
        <v>-542</v>
      </c>
      <c r="D86" s="42">
        <v>-37</v>
      </c>
      <c r="E86" s="47">
        <v>-226</v>
      </c>
    </row>
    <row r="87" spans="2:5" x14ac:dyDescent="0.3">
      <c r="B87" s="38" t="s">
        <v>31</v>
      </c>
      <c r="C87" s="42">
        <v>-216</v>
      </c>
      <c r="D87" s="42">
        <v>-879</v>
      </c>
      <c r="E87" s="47">
        <v>-792</v>
      </c>
    </row>
    <row r="88" spans="2:5" x14ac:dyDescent="0.3">
      <c r="B88" s="38" t="s">
        <v>77</v>
      </c>
      <c r="C88" s="42">
        <v>30</v>
      </c>
      <c r="D88" s="42">
        <v>-157</v>
      </c>
      <c r="E88" s="47">
        <v>-93</v>
      </c>
    </row>
    <row r="89" spans="2:5" x14ac:dyDescent="0.3">
      <c r="B89" s="38" t="s">
        <v>41</v>
      </c>
      <c r="C89" s="42">
        <v>184</v>
      </c>
      <c r="D89" s="42">
        <v>370</v>
      </c>
      <c r="E89" s="47">
        <v>179</v>
      </c>
    </row>
    <row r="90" spans="2:5" x14ac:dyDescent="0.3">
      <c r="B90" s="38" t="s">
        <v>42</v>
      </c>
      <c r="C90" s="42">
        <v>611</v>
      </c>
      <c r="D90" s="42">
        <v>289</v>
      </c>
      <c r="E90" s="47">
        <v>-318</v>
      </c>
    </row>
    <row r="91" spans="2:5" x14ac:dyDescent="0.3">
      <c r="B91" s="38" t="s">
        <v>45</v>
      </c>
      <c r="C91" s="42">
        <v>173</v>
      </c>
      <c r="D91" s="42">
        <v>121</v>
      </c>
      <c r="E91" s="47">
        <v>886</v>
      </c>
    </row>
    <row r="92" spans="2:5" x14ac:dyDescent="0.3">
      <c r="B92" s="38" t="s">
        <v>46</v>
      </c>
      <c r="C92" s="42">
        <v>-44</v>
      </c>
      <c r="D92" s="42">
        <v>41</v>
      </c>
      <c r="E92" s="47">
        <v>25</v>
      </c>
    </row>
    <row r="93" spans="2:5" x14ac:dyDescent="0.3">
      <c r="B93" s="38" t="s">
        <v>78</v>
      </c>
      <c r="C93" s="42">
        <v>2566</v>
      </c>
      <c r="D93" s="42">
        <v>3789</v>
      </c>
      <c r="E93" s="47">
        <v>3787</v>
      </c>
    </row>
    <row r="94" spans="2:5" x14ac:dyDescent="0.3">
      <c r="B94" s="37" t="s">
        <v>79</v>
      </c>
      <c r="E94" s="36"/>
    </row>
    <row r="95" spans="2:5" x14ac:dyDescent="0.3">
      <c r="B95" s="38" t="s">
        <v>80</v>
      </c>
      <c r="C95" s="42">
        <v>-253</v>
      </c>
      <c r="D95" s="42">
        <v>-345</v>
      </c>
      <c r="E95" s="47">
        <v>-622</v>
      </c>
    </row>
    <row r="96" spans="2:5" x14ac:dyDescent="0.3">
      <c r="B96" s="38" t="s">
        <v>81</v>
      </c>
      <c r="C96" s="42">
        <v>-16</v>
      </c>
      <c r="D96" s="42">
        <v>-68</v>
      </c>
      <c r="E96" s="47">
        <v>-6</v>
      </c>
    </row>
    <row r="97" spans="2:5" x14ac:dyDescent="0.3">
      <c r="B97" s="38" t="s">
        <v>82</v>
      </c>
      <c r="C97" s="42">
        <v>1234</v>
      </c>
      <c r="D97" s="42">
        <v>2743</v>
      </c>
      <c r="E97" s="47">
        <v>3276</v>
      </c>
    </row>
    <row r="98" spans="2:5" x14ac:dyDescent="0.3">
      <c r="B98" s="38" t="s">
        <v>83</v>
      </c>
      <c r="C98" s="42">
        <v>-1390</v>
      </c>
      <c r="D98" s="42">
        <v>-4856</v>
      </c>
      <c r="E98" s="47">
        <v>-2077</v>
      </c>
    </row>
    <row r="99" spans="2:5" x14ac:dyDescent="0.3">
      <c r="B99" s="38" t="s">
        <v>84</v>
      </c>
      <c r="C99" s="42">
        <v>-425</v>
      </c>
      <c r="D99" s="42">
        <v>-2526</v>
      </c>
      <c r="E99" s="47">
        <v>571</v>
      </c>
    </row>
    <row r="100" spans="2:5" x14ac:dyDescent="0.3">
      <c r="B100" s="37" t="s">
        <v>85</v>
      </c>
      <c r="E100" s="36"/>
    </row>
    <row r="101" spans="2:5" x14ac:dyDescent="0.3">
      <c r="B101" s="38" t="s">
        <v>86</v>
      </c>
      <c r="C101" s="42">
        <v>0</v>
      </c>
      <c r="D101" s="42">
        <v>2176</v>
      </c>
      <c r="E101" s="47">
        <v>0</v>
      </c>
    </row>
    <row r="102" spans="2:5" x14ac:dyDescent="0.3">
      <c r="B102" s="38" t="s">
        <v>87</v>
      </c>
      <c r="C102" s="42">
        <v>-1207</v>
      </c>
      <c r="D102" s="42">
        <v>-205</v>
      </c>
      <c r="E102" s="47">
        <v>0</v>
      </c>
    </row>
    <row r="103" spans="2:5" x14ac:dyDescent="0.3">
      <c r="B103" s="38" t="s">
        <v>88</v>
      </c>
      <c r="C103" s="42">
        <v>88</v>
      </c>
      <c r="D103" s="42">
        <v>97</v>
      </c>
      <c r="E103" s="47">
        <v>124</v>
      </c>
    </row>
    <row r="104" spans="2:5" x14ac:dyDescent="0.3">
      <c r="B104" s="38" t="s">
        <v>68</v>
      </c>
      <c r="C104" s="42">
        <v>-1892</v>
      </c>
      <c r="D104" s="42">
        <v>-1172</v>
      </c>
      <c r="E104" s="47">
        <v>-5283</v>
      </c>
    </row>
    <row r="105" spans="2:5" x14ac:dyDescent="0.3">
      <c r="B105" s="38" t="s">
        <v>89</v>
      </c>
      <c r="C105" s="42">
        <v>-77</v>
      </c>
      <c r="D105" s="42">
        <v>-125</v>
      </c>
      <c r="E105" s="47">
        <v>-164</v>
      </c>
    </row>
    <row r="106" spans="2:5" x14ac:dyDescent="0.3">
      <c r="B106" s="38" t="s">
        <v>90</v>
      </c>
      <c r="C106" s="42">
        <v>-444</v>
      </c>
      <c r="D106" s="42">
        <v>-430</v>
      </c>
      <c r="E106" s="47">
        <v>-605</v>
      </c>
    </row>
    <row r="107" spans="2:5" x14ac:dyDescent="0.3">
      <c r="B107" s="38" t="s">
        <v>91</v>
      </c>
      <c r="C107" s="42">
        <v>-3532</v>
      </c>
      <c r="D107" s="42">
        <v>341</v>
      </c>
      <c r="E107" s="47">
        <v>-5928</v>
      </c>
    </row>
    <row r="108" spans="2:5" x14ac:dyDescent="0.3">
      <c r="B108" s="38" t="s">
        <v>92</v>
      </c>
      <c r="C108" s="42">
        <v>-1391</v>
      </c>
      <c r="D108" s="42">
        <v>1604</v>
      </c>
      <c r="E108" s="47">
        <v>-1570</v>
      </c>
    </row>
    <row r="109" spans="2:5" x14ac:dyDescent="0.3">
      <c r="B109" s="38" t="s">
        <v>93</v>
      </c>
      <c r="C109" s="42">
        <v>4797</v>
      </c>
      <c r="D109" s="42">
        <v>3406</v>
      </c>
      <c r="E109" s="47">
        <v>5010</v>
      </c>
    </row>
    <row r="110" spans="2:5" x14ac:dyDescent="0.3">
      <c r="B110" s="38" t="s">
        <v>94</v>
      </c>
      <c r="C110" s="42">
        <v>3406</v>
      </c>
      <c r="D110" s="42">
        <v>5010</v>
      </c>
      <c r="E110" s="47">
        <v>3440</v>
      </c>
    </row>
    <row r="111" spans="2:5" x14ac:dyDescent="0.3">
      <c r="B111" s="37" t="s">
        <v>95</v>
      </c>
      <c r="E111" s="36"/>
    </row>
    <row r="112" spans="2:5" x14ac:dyDescent="0.3">
      <c r="B112" s="38" t="s">
        <v>96</v>
      </c>
      <c r="C112" s="42">
        <v>157</v>
      </c>
      <c r="D112" s="42">
        <v>194</v>
      </c>
      <c r="E112" s="47">
        <v>300</v>
      </c>
    </row>
    <row r="113" spans="2:16" x14ac:dyDescent="0.3">
      <c r="B113" s="38" t="s">
        <v>97</v>
      </c>
      <c r="C113" s="42">
        <v>113</v>
      </c>
      <c r="D113" s="42">
        <v>61</v>
      </c>
      <c r="E113" s="47">
        <v>63</v>
      </c>
    </row>
    <row r="114" spans="2:16" ht="16.2" thickBot="1" x14ac:dyDescent="0.35">
      <c r="B114" s="58" t="s">
        <v>98</v>
      </c>
      <c r="C114" s="65">
        <v>151</v>
      </c>
      <c r="D114" s="65">
        <v>186</v>
      </c>
      <c r="E114" s="66">
        <v>219</v>
      </c>
    </row>
    <row r="116" spans="2:16" ht="16.2" thickBot="1" x14ac:dyDescent="0.35"/>
    <row r="117" spans="2:16" x14ac:dyDescent="0.3">
      <c r="B117" s="27" t="s">
        <v>102</v>
      </c>
      <c r="C117" s="67"/>
      <c r="D117" s="67">
        <v>2017</v>
      </c>
      <c r="E117" s="68">
        <v>2018</v>
      </c>
      <c r="G117" s="69" t="s">
        <v>139</v>
      </c>
      <c r="H117" s="70"/>
      <c r="I117" s="70"/>
      <c r="J117" s="70"/>
      <c r="K117" s="70"/>
      <c r="L117" s="70"/>
      <c r="M117" s="70"/>
      <c r="N117" s="70"/>
      <c r="O117" s="70"/>
      <c r="P117" s="70"/>
    </row>
    <row r="118" spans="2:16" x14ac:dyDescent="0.3">
      <c r="B118" s="71" t="s">
        <v>103</v>
      </c>
      <c r="E118" s="36"/>
      <c r="G118" s="72"/>
    </row>
    <row r="119" spans="2:16" x14ac:dyDescent="0.3">
      <c r="B119" s="73" t="s">
        <v>104</v>
      </c>
      <c r="D119" s="74">
        <f>D34/D44</f>
        <v>3.1392466585662211</v>
      </c>
      <c r="E119" s="75">
        <f>E34/E44</f>
        <v>2.6418387413962634</v>
      </c>
      <c r="G119" s="72" t="s">
        <v>124</v>
      </c>
    </row>
    <row r="120" spans="2:16" x14ac:dyDescent="0.3">
      <c r="B120" s="73" t="s">
        <v>105</v>
      </c>
      <c r="D120" s="74">
        <f>(D34-D32)/D44</f>
        <v>2.4272174969623328</v>
      </c>
      <c r="E120" s="75">
        <f>(E34-E32)/E44</f>
        <v>1.7268928220255655</v>
      </c>
      <c r="G120" s="72" t="s">
        <v>125</v>
      </c>
    </row>
    <row r="121" spans="2:16" x14ac:dyDescent="0.3">
      <c r="B121" s="71" t="s">
        <v>106</v>
      </c>
      <c r="E121" s="36"/>
      <c r="G121" s="72"/>
    </row>
    <row r="122" spans="2:16" x14ac:dyDescent="0.3">
      <c r="B122" s="73" t="s">
        <v>107</v>
      </c>
      <c r="D122" s="76">
        <f>(D40-D57)/D40</f>
        <v>0.51856429270302284</v>
      </c>
      <c r="E122" s="77">
        <f>(E40-E57)/E40</f>
        <v>0.6152028357621111</v>
      </c>
      <c r="G122" s="72" t="s">
        <v>126</v>
      </c>
    </row>
    <row r="123" spans="2:16" x14ac:dyDescent="0.3">
      <c r="B123" s="73" t="s">
        <v>108</v>
      </c>
      <c r="D123" s="76">
        <f>D45/(D45+D57)</f>
        <v>0.36197365727154851</v>
      </c>
      <c r="E123" s="77">
        <f>E45/(E45+E57)</f>
        <v>0.43702667105696413</v>
      </c>
      <c r="G123" s="72" t="s">
        <v>127</v>
      </c>
    </row>
    <row r="124" spans="2:16" x14ac:dyDescent="0.3">
      <c r="B124" s="73" t="s">
        <v>109</v>
      </c>
      <c r="D124" s="78">
        <f>(D40-D57)/D57</f>
        <v>1.0771205476521553</v>
      </c>
      <c r="E124" s="79">
        <f>(E40-E57)/E57</f>
        <v>1.5987717502558854</v>
      </c>
      <c r="G124" s="72" t="s">
        <v>128</v>
      </c>
    </row>
    <row r="125" spans="2:16" x14ac:dyDescent="0.3">
      <c r="B125" s="73" t="s">
        <v>110</v>
      </c>
      <c r="D125" s="74">
        <f>D13/D14</f>
        <v>19.535353535353536</v>
      </c>
      <c r="E125" s="75">
        <f>E13/E14</f>
        <v>20.495726495726494</v>
      </c>
      <c r="G125" s="72" t="s">
        <v>129</v>
      </c>
    </row>
    <row r="126" spans="2:16" x14ac:dyDescent="0.3">
      <c r="B126" s="71" t="s">
        <v>119</v>
      </c>
      <c r="E126" s="36"/>
      <c r="G126" s="72"/>
    </row>
    <row r="127" spans="2:16" x14ac:dyDescent="0.3">
      <c r="B127" s="73" t="s">
        <v>120</v>
      </c>
      <c r="D127" s="74">
        <f>D6/((C32+D32)/2)</f>
        <v>3.214859437751004</v>
      </c>
      <c r="E127" s="75">
        <f>E6/((D32+E32)/2)</f>
        <v>2.837041491280818</v>
      </c>
      <c r="G127" s="72" t="s">
        <v>130</v>
      </c>
    </row>
    <row r="128" spans="2:16" x14ac:dyDescent="0.3">
      <c r="B128" s="73" t="s">
        <v>121</v>
      </c>
      <c r="D128" s="74">
        <f>D5/((C31+D31)/2)</f>
        <v>6.2971626597357595</v>
      </c>
      <c r="E128" s="75">
        <f>E5/((D31+E31)/2)</f>
        <v>7.0377320008158266</v>
      </c>
      <c r="G128" s="72" t="s">
        <v>131</v>
      </c>
    </row>
    <row r="129" spans="2:7" x14ac:dyDescent="0.3">
      <c r="B129" s="73" t="s">
        <v>122</v>
      </c>
      <c r="D129" s="74">
        <f>D5/((C36+D36)/2)</f>
        <v>14.515227159261109</v>
      </c>
      <c r="E129" s="75">
        <f>E5/((D36+E36)/2)</f>
        <v>13.953093408815205</v>
      </c>
      <c r="G129" s="72" t="s">
        <v>132</v>
      </c>
    </row>
    <row r="130" spans="2:7" x14ac:dyDescent="0.3">
      <c r="B130" s="73" t="s">
        <v>123</v>
      </c>
      <c r="D130" s="74">
        <f>D5/((C40+D40)/2)</f>
        <v>0.85539439230339231</v>
      </c>
      <c r="E130" s="75">
        <f>E5/((D40+E40)/2)</f>
        <v>0.92778016777801675</v>
      </c>
      <c r="G130" s="72" t="s">
        <v>133</v>
      </c>
    </row>
    <row r="131" spans="2:7" x14ac:dyDescent="0.3">
      <c r="B131" s="71" t="s">
        <v>111</v>
      </c>
      <c r="E131" s="36"/>
      <c r="G131" s="72"/>
    </row>
    <row r="132" spans="2:7" x14ac:dyDescent="0.3">
      <c r="B132" s="73" t="s">
        <v>112</v>
      </c>
      <c r="D132" s="76">
        <f>D18/D5</f>
        <v>0.23622480566829471</v>
      </c>
      <c r="E132" s="77">
        <f>E18/E5</f>
        <v>0.19202457543615603</v>
      </c>
      <c r="G132" s="72" t="s">
        <v>134</v>
      </c>
    </row>
    <row r="133" spans="2:7" x14ac:dyDescent="0.3">
      <c r="B133" s="73" t="s">
        <v>113</v>
      </c>
      <c r="D133" s="76">
        <f>D18/((C40+D40)/2)</f>
        <v>0.20206537409161787</v>
      </c>
      <c r="E133" s="77">
        <f>E18/((D40+E40)/2)</f>
        <v>0.17815659281565929</v>
      </c>
      <c r="G133" s="72" t="s">
        <v>135</v>
      </c>
    </row>
    <row r="134" spans="2:7" x14ac:dyDescent="0.3">
      <c r="B134" s="73" t="s">
        <v>114</v>
      </c>
      <c r="D134" s="76">
        <f>D18/((C57+D57)/2)</f>
        <v>0.41458408789086082</v>
      </c>
      <c r="E134" s="77">
        <f>E18/((D57+E57)/2)</f>
        <v>0.40931554237706941</v>
      </c>
      <c r="G134" s="72" t="s">
        <v>136</v>
      </c>
    </row>
    <row r="135" spans="2:7" x14ac:dyDescent="0.3">
      <c r="B135" s="71" t="s">
        <v>115</v>
      </c>
      <c r="E135" s="36"/>
      <c r="G135" s="72"/>
    </row>
    <row r="136" spans="2:7" x14ac:dyDescent="0.3">
      <c r="B136" s="73" t="s">
        <v>116</v>
      </c>
      <c r="D136" s="80">
        <f>D73/D21</f>
        <v>17.801261829652997</v>
      </c>
      <c r="E136" s="81">
        <f>E73/E21</f>
        <v>10.179566563467493</v>
      </c>
      <c r="G136" s="72" t="s">
        <v>137</v>
      </c>
    </row>
    <row r="137" spans="2:7" x14ac:dyDescent="0.3">
      <c r="B137" s="73" t="s">
        <v>117</v>
      </c>
      <c r="D137" s="80">
        <f>D73/(D57/1060)</f>
        <v>6.3980960530538029</v>
      </c>
      <c r="E137" s="81">
        <f>E73/(E57/967)</f>
        <v>4.6490656528732277</v>
      </c>
      <c r="G137" s="72" t="s">
        <v>138</v>
      </c>
    </row>
    <row r="138" spans="2:7" ht="16.2" thickBot="1" x14ac:dyDescent="0.35">
      <c r="B138" s="82" t="s">
        <v>118</v>
      </c>
      <c r="C138" s="56"/>
      <c r="D138" s="83">
        <f>((1060*D73)+(D40-D57))/(D40)</f>
        <v>3.5988361913589784</v>
      </c>
      <c r="E138" s="84">
        <f>((967*E73)+(E40-E57))/(E40)</f>
        <v>2.4041501153434988</v>
      </c>
      <c r="G138" s="85" t="s">
        <v>140</v>
      </c>
    </row>
    <row r="140" spans="2:7" ht="16.2" thickBot="1" x14ac:dyDescent="0.35"/>
    <row r="141" spans="2:7" x14ac:dyDescent="0.3">
      <c r="B141" s="96" t="s">
        <v>141</v>
      </c>
      <c r="C141" s="67"/>
      <c r="D141" s="67">
        <v>2017</v>
      </c>
      <c r="E141" s="68">
        <v>2018</v>
      </c>
      <c r="G141" s="69" t="s">
        <v>145</v>
      </c>
    </row>
    <row r="142" spans="2:7" x14ac:dyDescent="0.3">
      <c r="B142" s="100"/>
      <c r="E142" s="36"/>
      <c r="G142" s="72"/>
    </row>
    <row r="143" spans="2:7" x14ac:dyDescent="0.3">
      <c r="B143" s="32" t="s">
        <v>142</v>
      </c>
      <c r="D143" s="86">
        <f>D93</f>
        <v>3789</v>
      </c>
      <c r="E143" s="87">
        <f>E93</f>
        <v>3787</v>
      </c>
      <c r="G143" s="72" t="s">
        <v>146</v>
      </c>
    </row>
    <row r="144" spans="2:7" x14ac:dyDescent="0.3">
      <c r="B144" s="88" t="s">
        <v>143</v>
      </c>
      <c r="C144" s="89"/>
      <c r="D144" s="90">
        <f>-D95</f>
        <v>345</v>
      </c>
      <c r="E144" s="91">
        <f>-E95</f>
        <v>622</v>
      </c>
      <c r="G144" s="72" t="s">
        <v>147</v>
      </c>
    </row>
    <row r="145" spans="2:7" ht="16.2" thickBot="1" x14ac:dyDescent="0.35">
      <c r="B145" s="92" t="s">
        <v>144</v>
      </c>
      <c r="C145" s="56"/>
      <c r="D145" s="93">
        <f>D143-D144</f>
        <v>3444</v>
      </c>
      <c r="E145" s="94">
        <f>E143-E144</f>
        <v>3165</v>
      </c>
      <c r="G145" s="85" t="s">
        <v>148</v>
      </c>
    </row>
    <row r="147" spans="2:7" x14ac:dyDescent="0.3">
      <c r="D147" s="95"/>
      <c r="E147" s="95"/>
    </row>
  </sheetData>
  <mergeCells count="5">
    <mergeCell ref="B2:B3"/>
    <mergeCell ref="C2:E2"/>
    <mergeCell ref="B76:B77"/>
    <mergeCell ref="C76:E76"/>
    <mergeCell ref="B141:B1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activeCell="A7" sqref="A7"/>
    </sheetView>
  </sheetViews>
  <sheetFormatPr defaultRowHeight="14.4" x14ac:dyDescent="0.3"/>
  <cols>
    <col min="1" max="1" width="80" customWidth="1"/>
    <col min="2" max="4" width="14" customWidth="1"/>
    <col min="5" max="5" width="16" customWidth="1"/>
  </cols>
  <sheetData>
    <row r="1" spans="1:4" ht="15" customHeight="1" x14ac:dyDescent="0.3">
      <c r="A1" s="101" t="s">
        <v>2</v>
      </c>
      <c r="B1" s="103" t="s">
        <v>0</v>
      </c>
      <c r="C1" s="103"/>
      <c r="D1" s="103"/>
    </row>
    <row r="2" spans="1:4" x14ac:dyDescent="0.3">
      <c r="A2" s="102"/>
      <c r="B2" s="2" t="s">
        <v>4</v>
      </c>
      <c r="C2" s="2" t="s">
        <v>3</v>
      </c>
      <c r="D2" s="2" t="s">
        <v>1</v>
      </c>
    </row>
    <row r="3" spans="1:4" x14ac:dyDescent="0.3">
      <c r="A3" s="3" t="s">
        <v>5</v>
      </c>
    </row>
    <row r="4" spans="1:4" x14ac:dyDescent="0.3">
      <c r="A4" s="4" t="s">
        <v>6</v>
      </c>
      <c r="B4" s="6">
        <v>10825</v>
      </c>
      <c r="C4" s="6">
        <v>14537</v>
      </c>
      <c r="D4" s="6">
        <v>17253</v>
      </c>
    </row>
    <row r="5" spans="1:4" x14ac:dyDescent="0.3">
      <c r="A5" s="4" t="s">
        <v>7</v>
      </c>
      <c r="B5" s="5">
        <v>6314</v>
      </c>
      <c r="C5" s="5">
        <v>8005</v>
      </c>
      <c r="D5" s="5">
        <v>9436</v>
      </c>
    </row>
    <row r="6" spans="1:4" x14ac:dyDescent="0.3">
      <c r="A6" s="4" t="s">
        <v>8</v>
      </c>
      <c r="B6" s="5">
        <v>4511</v>
      </c>
      <c r="C6" s="5">
        <v>6532</v>
      </c>
      <c r="D6" s="5">
        <v>7817</v>
      </c>
    </row>
    <row r="7" spans="1:4" x14ac:dyDescent="0.3">
      <c r="A7" s="3" t="s">
        <v>9</v>
      </c>
    </row>
    <row r="8" spans="1:4" x14ac:dyDescent="0.3">
      <c r="A8" s="4" t="s">
        <v>10</v>
      </c>
      <c r="B8" s="5">
        <v>1540</v>
      </c>
      <c r="C8" s="5">
        <v>1774</v>
      </c>
      <c r="D8" s="5">
        <v>2019</v>
      </c>
    </row>
    <row r="9" spans="1:4" x14ac:dyDescent="0.3">
      <c r="A9" s="4" t="s">
        <v>11</v>
      </c>
      <c r="B9" s="5">
        <v>429</v>
      </c>
      <c r="C9" s="5">
        <v>456</v>
      </c>
      <c r="D9" s="5">
        <v>521</v>
      </c>
    </row>
    <row r="10" spans="1:4" x14ac:dyDescent="0.3">
      <c r="A10" s="4" t="s">
        <v>12</v>
      </c>
      <c r="B10" s="5">
        <v>390</v>
      </c>
      <c r="C10" s="5">
        <v>434</v>
      </c>
      <c r="D10" s="5">
        <v>481</v>
      </c>
    </row>
    <row r="11" spans="1:4" x14ac:dyDescent="0.3">
      <c r="A11" s="4" t="s">
        <v>13</v>
      </c>
      <c r="B11" s="5">
        <v>2359</v>
      </c>
      <c r="C11" s="5">
        <v>2664</v>
      </c>
      <c r="D11" s="5">
        <v>3021</v>
      </c>
    </row>
    <row r="12" spans="1:4" x14ac:dyDescent="0.3">
      <c r="A12" s="4" t="s">
        <v>14</v>
      </c>
      <c r="B12" s="5">
        <v>2152</v>
      </c>
      <c r="C12" s="5">
        <v>3868</v>
      </c>
      <c r="D12" s="5">
        <v>4796</v>
      </c>
    </row>
    <row r="13" spans="1:4" x14ac:dyDescent="0.3">
      <c r="A13" s="4" t="s">
        <v>15</v>
      </c>
      <c r="B13" s="5">
        <v>155</v>
      </c>
      <c r="C13" s="5">
        <v>198</v>
      </c>
      <c r="D13" s="5">
        <v>234</v>
      </c>
    </row>
    <row r="14" spans="1:4" x14ac:dyDescent="0.3">
      <c r="A14" s="4" t="s">
        <v>16</v>
      </c>
      <c r="B14" s="5">
        <v>16</v>
      </c>
      <c r="C14" s="5">
        <v>61</v>
      </c>
      <c r="D14" s="5">
        <v>132</v>
      </c>
    </row>
    <row r="15" spans="1:4" x14ac:dyDescent="0.3">
      <c r="A15" s="4" t="s">
        <v>17</v>
      </c>
      <c r="B15" s="5">
        <v>2013</v>
      </c>
      <c r="C15" s="5">
        <v>3731</v>
      </c>
      <c r="D15" s="5">
        <v>4694</v>
      </c>
    </row>
    <row r="16" spans="1:4" x14ac:dyDescent="0.3">
      <c r="A16" s="4" t="s">
        <v>18</v>
      </c>
      <c r="B16" s="5">
        <v>292</v>
      </c>
      <c r="C16" s="5">
        <v>297</v>
      </c>
      <c r="D16" s="5">
        <v>1381</v>
      </c>
    </row>
    <row r="17" spans="1:4" x14ac:dyDescent="0.3">
      <c r="A17" s="4" t="s">
        <v>19</v>
      </c>
      <c r="B17" s="6">
        <v>1721</v>
      </c>
      <c r="C17" s="6">
        <v>3434</v>
      </c>
      <c r="D17" s="6">
        <v>3313</v>
      </c>
    </row>
    <row r="18" spans="1:4" x14ac:dyDescent="0.3">
      <c r="A18" s="3" t="s">
        <v>20</v>
      </c>
    </row>
    <row r="19" spans="1:4" x14ac:dyDescent="0.3">
      <c r="A19" s="4" t="s">
        <v>21</v>
      </c>
      <c r="B19" s="7">
        <v>1.56</v>
      </c>
      <c r="C19" s="7">
        <v>3.2</v>
      </c>
      <c r="D19" s="7">
        <v>3.27</v>
      </c>
    </row>
    <row r="20" spans="1:4" x14ac:dyDescent="0.3">
      <c r="A20" s="4" t="s">
        <v>22</v>
      </c>
      <c r="B20" s="7">
        <v>1.54</v>
      </c>
      <c r="C20" s="7">
        <v>3.17</v>
      </c>
      <c r="D20" s="7">
        <v>3.23</v>
      </c>
    </row>
    <row r="21" spans="1:4" x14ac:dyDescent="0.3">
      <c r="A21" s="3" t="s">
        <v>23</v>
      </c>
    </row>
    <row r="22" spans="1:4" x14ac:dyDescent="0.3">
      <c r="A22" s="4" t="s">
        <v>24</v>
      </c>
      <c r="B22" s="5">
        <v>1107</v>
      </c>
      <c r="C22" s="5">
        <v>1073</v>
      </c>
      <c r="D22" s="5">
        <v>1013</v>
      </c>
    </row>
    <row r="23" spans="1:4" x14ac:dyDescent="0.3">
      <c r="A23" s="4" t="s">
        <v>25</v>
      </c>
      <c r="B23" s="5">
        <v>1116</v>
      </c>
      <c r="C23" s="5">
        <v>1084</v>
      </c>
      <c r="D23" s="5">
        <v>1026</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workbookViewId="0">
      <selection sqref="A1:D34"/>
    </sheetView>
  </sheetViews>
  <sheetFormatPr defaultRowHeight="14.4" x14ac:dyDescent="0.3"/>
  <cols>
    <col min="1" max="1" width="80" customWidth="1"/>
    <col min="2" max="4" width="19.33203125" customWidth="1"/>
  </cols>
  <sheetData>
    <row r="1" spans="1:4" x14ac:dyDescent="0.3">
      <c r="A1" s="1" t="s">
        <v>26</v>
      </c>
      <c r="B1" s="8" t="s">
        <v>4</v>
      </c>
      <c r="C1" s="2" t="s">
        <v>3</v>
      </c>
      <c r="D1" s="2" t="s">
        <v>1</v>
      </c>
    </row>
    <row r="2" spans="1:4" x14ac:dyDescent="0.3">
      <c r="A2" s="3" t="s">
        <v>27</v>
      </c>
    </row>
    <row r="3" spans="1:4" x14ac:dyDescent="0.3">
      <c r="A3" s="4" t="s">
        <v>28</v>
      </c>
      <c r="B3" s="10">
        <v>3406</v>
      </c>
      <c r="C3" s="6">
        <v>5010</v>
      </c>
      <c r="D3" s="6">
        <v>3440</v>
      </c>
    </row>
    <row r="4" spans="1:4" x14ac:dyDescent="0.3">
      <c r="A4" s="4" t="s">
        <v>29</v>
      </c>
      <c r="B4" s="11">
        <v>343</v>
      </c>
      <c r="C4" s="5">
        <v>2266</v>
      </c>
      <c r="D4" s="5">
        <v>590</v>
      </c>
    </row>
    <row r="5" spans="1:4" x14ac:dyDescent="0.3">
      <c r="A5" s="4" t="s">
        <v>30</v>
      </c>
      <c r="B5" s="11">
        <v>2279</v>
      </c>
      <c r="C5" s="5">
        <v>2338</v>
      </c>
      <c r="D5" s="5">
        <v>2565</v>
      </c>
    </row>
    <row r="6" spans="1:4" x14ac:dyDescent="0.3">
      <c r="A6" s="4" t="s">
        <v>31</v>
      </c>
      <c r="B6" s="11">
        <v>2050</v>
      </c>
      <c r="C6" s="5">
        <v>2930</v>
      </c>
      <c r="D6" s="5">
        <v>3722</v>
      </c>
    </row>
    <row r="7" spans="1:4" x14ac:dyDescent="0.3">
      <c r="A7" s="4" t="s">
        <v>32</v>
      </c>
      <c r="B7" s="11">
        <v>275</v>
      </c>
      <c r="C7" s="5">
        <v>374</v>
      </c>
      <c r="D7" s="5">
        <v>430</v>
      </c>
    </row>
    <row r="8" spans="1:4" x14ac:dyDescent="0.3">
      <c r="A8" s="4" t="s">
        <v>33</v>
      </c>
      <c r="B8" s="11">
        <v>8353</v>
      </c>
      <c r="C8" s="5">
        <v>12918</v>
      </c>
      <c r="D8" s="5">
        <v>10747</v>
      </c>
    </row>
    <row r="9" spans="1:4" x14ac:dyDescent="0.3">
      <c r="A9" s="4" t="s">
        <v>34</v>
      </c>
      <c r="B9" s="11">
        <v>929</v>
      </c>
      <c r="C9" s="5">
        <v>1143</v>
      </c>
      <c r="D9" s="5">
        <v>1568</v>
      </c>
    </row>
    <row r="10" spans="1:4" x14ac:dyDescent="0.3">
      <c r="A10" s="4" t="s">
        <v>35</v>
      </c>
      <c r="B10" s="11">
        <v>937</v>
      </c>
      <c r="C10" s="5">
        <v>1066</v>
      </c>
      <c r="D10" s="5">
        <v>1407</v>
      </c>
    </row>
    <row r="11" spans="1:4" x14ac:dyDescent="0.3">
      <c r="A11" s="4" t="s">
        <v>36</v>
      </c>
      <c r="B11" s="11">
        <v>3316</v>
      </c>
      <c r="C11" s="5">
        <v>3368</v>
      </c>
      <c r="D11" s="5">
        <v>3368</v>
      </c>
    </row>
    <row r="12" spans="1:4" x14ac:dyDescent="0.3">
      <c r="A12" s="4" t="s">
        <v>37</v>
      </c>
      <c r="B12" s="11">
        <v>575</v>
      </c>
      <c r="C12" s="5">
        <v>412</v>
      </c>
      <c r="D12" s="5">
        <v>213</v>
      </c>
    </row>
    <row r="13" spans="1:4" x14ac:dyDescent="0.3">
      <c r="A13" s="4" t="s">
        <v>38</v>
      </c>
      <c r="B13" s="11">
        <v>460</v>
      </c>
      <c r="C13" s="5">
        <v>512</v>
      </c>
      <c r="D13" s="5">
        <v>470</v>
      </c>
    </row>
    <row r="14" spans="1:4" x14ac:dyDescent="0.3">
      <c r="A14" s="4" t="s">
        <v>39</v>
      </c>
      <c r="B14" s="11">
        <v>14570</v>
      </c>
      <c r="C14" s="5">
        <v>19419</v>
      </c>
      <c r="D14" s="5">
        <v>17773</v>
      </c>
    </row>
    <row r="15" spans="1:4" x14ac:dyDescent="0.3">
      <c r="A15" s="3" t="s">
        <v>40</v>
      </c>
    </row>
    <row r="16" spans="1:4" x14ac:dyDescent="0.3">
      <c r="A16" s="4" t="s">
        <v>41</v>
      </c>
      <c r="B16" s="11">
        <v>2256</v>
      </c>
      <c r="C16" s="5">
        <v>2450</v>
      </c>
      <c r="D16" s="5">
        <v>2721</v>
      </c>
    </row>
    <row r="17" spans="1:4" x14ac:dyDescent="0.3">
      <c r="A17" s="4" t="s">
        <v>42</v>
      </c>
      <c r="B17" s="11">
        <v>1376</v>
      </c>
      <c r="C17" s="5">
        <v>1665</v>
      </c>
      <c r="D17" s="5">
        <v>1347</v>
      </c>
    </row>
    <row r="18" spans="1:4" x14ac:dyDescent="0.3">
      <c r="A18" s="4" t="s">
        <v>43</v>
      </c>
      <c r="B18" s="11">
        <v>3632</v>
      </c>
      <c r="C18" s="5">
        <v>4115</v>
      </c>
      <c r="D18" s="5">
        <v>4068</v>
      </c>
    </row>
    <row r="19" spans="1:4" x14ac:dyDescent="0.3">
      <c r="A19" s="4" t="s">
        <v>44</v>
      </c>
      <c r="B19" s="11">
        <v>3125</v>
      </c>
      <c r="C19" s="5">
        <v>5304</v>
      </c>
      <c r="D19" s="5">
        <v>5309</v>
      </c>
    </row>
    <row r="20" spans="1:4" x14ac:dyDescent="0.3">
      <c r="A20" s="4" t="s">
        <v>99</v>
      </c>
      <c r="B20" s="11"/>
      <c r="C20" s="5">
        <v>392</v>
      </c>
      <c r="D20" s="5">
        <v>1254</v>
      </c>
    </row>
    <row r="21" spans="1:4" x14ac:dyDescent="0.3">
      <c r="A21" s="4" t="s">
        <v>46</v>
      </c>
      <c r="B21" s="11">
        <v>596</v>
      </c>
      <c r="C21" s="5">
        <v>259</v>
      </c>
      <c r="D21" s="5">
        <v>303</v>
      </c>
    </row>
    <row r="22" spans="1:4" x14ac:dyDescent="0.3">
      <c r="A22" s="4" t="s">
        <v>47</v>
      </c>
      <c r="B22" s="11">
        <v>7353</v>
      </c>
      <c r="C22" s="5">
        <v>10070</v>
      </c>
      <c r="D22" s="5">
        <v>10934</v>
      </c>
    </row>
    <row r="23" spans="1:4" x14ac:dyDescent="0.3">
      <c r="A23" s="4" t="s">
        <v>48</v>
      </c>
      <c r="B23" s="9" t="s">
        <v>49</v>
      </c>
      <c r="C23" s="4" t="s">
        <v>49</v>
      </c>
      <c r="D23" s="4" t="s">
        <v>49</v>
      </c>
    </row>
    <row r="24" spans="1:4" x14ac:dyDescent="0.3">
      <c r="A24" s="3" t="s">
        <v>50</v>
      </c>
    </row>
    <row r="25" spans="1:4" x14ac:dyDescent="0.3">
      <c r="A25" s="4" t="s">
        <v>51</v>
      </c>
      <c r="B25" s="11">
        <v>0</v>
      </c>
      <c r="C25" s="5">
        <v>0</v>
      </c>
      <c r="D25" s="5">
        <v>0</v>
      </c>
    </row>
    <row r="26" spans="1:4" ht="28.8" x14ac:dyDescent="0.3">
      <c r="A26" s="4" t="s">
        <v>52</v>
      </c>
      <c r="B26" s="11">
        <v>11</v>
      </c>
      <c r="C26" s="5">
        <v>11</v>
      </c>
      <c r="D26" s="5">
        <v>10</v>
      </c>
    </row>
    <row r="27" spans="1:4" x14ac:dyDescent="0.3">
      <c r="A27" s="4" t="s">
        <v>53</v>
      </c>
      <c r="B27" s="11">
        <v>6809</v>
      </c>
      <c r="C27" s="5">
        <v>7056</v>
      </c>
      <c r="D27" s="5">
        <v>7274</v>
      </c>
    </row>
    <row r="28" spans="1:4" x14ac:dyDescent="0.3">
      <c r="A28" s="4" t="s">
        <v>54</v>
      </c>
      <c r="B28" s="11">
        <v>15252</v>
      </c>
      <c r="C28" s="5">
        <v>18258</v>
      </c>
      <c r="D28" s="5">
        <v>20874</v>
      </c>
    </row>
    <row r="29" spans="1:4" x14ac:dyDescent="0.3">
      <c r="A29" s="4" t="s">
        <v>55</v>
      </c>
      <c r="B29" s="11">
        <v>-14740</v>
      </c>
      <c r="C29" s="5">
        <v>-15912</v>
      </c>
      <c r="D29" s="5">
        <v>-21194</v>
      </c>
    </row>
    <row r="30" spans="1:4" x14ac:dyDescent="0.3">
      <c r="A30" s="4" t="s">
        <v>56</v>
      </c>
      <c r="B30" s="11">
        <v>-115</v>
      </c>
      <c r="C30" s="5">
        <v>-64</v>
      </c>
      <c r="D30" s="5">
        <v>-125</v>
      </c>
    </row>
    <row r="31" spans="1:4" x14ac:dyDescent="0.3">
      <c r="A31" s="4" t="s">
        <v>57</v>
      </c>
      <c r="B31" s="11">
        <v>7217</v>
      </c>
      <c r="C31" s="5">
        <v>9349</v>
      </c>
      <c r="D31" s="5">
        <v>6839</v>
      </c>
    </row>
    <row r="32" spans="1:4" x14ac:dyDescent="0.3">
      <c r="A32" s="4" t="s">
        <v>58</v>
      </c>
      <c r="B32" s="10">
        <v>14570</v>
      </c>
      <c r="C32" s="6">
        <v>19419</v>
      </c>
      <c r="D32" s="6">
        <v>17773</v>
      </c>
    </row>
    <row r="34" spans="1:1" ht="28.8" x14ac:dyDescent="0.3">
      <c r="A34" s="13" t="s">
        <v>100</v>
      </c>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sqref="A1:D11"/>
    </sheetView>
  </sheetViews>
  <sheetFormatPr defaultRowHeight="14.4" x14ac:dyDescent="0.3"/>
  <cols>
    <col min="1" max="1" width="60" customWidth="1"/>
    <col min="2" max="4" width="14" customWidth="1"/>
  </cols>
  <sheetData>
    <row r="1" spans="1:4" x14ac:dyDescent="0.3">
      <c r="A1" s="1" t="s">
        <v>59</v>
      </c>
      <c r="B1" s="8" t="s">
        <v>4</v>
      </c>
      <c r="C1" s="2" t="s">
        <v>3</v>
      </c>
      <c r="D1" s="2" t="s">
        <v>1</v>
      </c>
    </row>
    <row r="2" spans="1:4" x14ac:dyDescent="0.3">
      <c r="A2" s="3" t="s">
        <v>50</v>
      </c>
    </row>
    <row r="3" spans="1:4" x14ac:dyDescent="0.3">
      <c r="A3" s="4" t="s">
        <v>60</v>
      </c>
      <c r="B3" s="12">
        <v>0.01</v>
      </c>
      <c r="C3" s="7">
        <v>0.01</v>
      </c>
      <c r="D3" s="7">
        <v>0.01</v>
      </c>
    </row>
    <row r="4" spans="1:4" x14ac:dyDescent="0.3">
      <c r="A4" s="4" t="s">
        <v>61</v>
      </c>
      <c r="B4" s="11">
        <v>1000000</v>
      </c>
      <c r="C4" s="5">
        <v>1000000</v>
      </c>
      <c r="D4" s="5">
        <v>1000000</v>
      </c>
    </row>
    <row r="5" spans="1:4" x14ac:dyDescent="0.3">
      <c r="A5" s="4" t="s">
        <v>62</v>
      </c>
      <c r="B5" s="11">
        <v>0</v>
      </c>
      <c r="C5" s="5">
        <v>0</v>
      </c>
      <c r="D5" s="5">
        <v>0</v>
      </c>
    </row>
    <row r="6" spans="1:4" x14ac:dyDescent="0.3">
      <c r="A6" s="4" t="s">
        <v>63</v>
      </c>
      <c r="B6" s="12">
        <v>0.01</v>
      </c>
      <c r="C6" s="7">
        <v>0.01</v>
      </c>
      <c r="D6" s="7">
        <v>0.01</v>
      </c>
    </row>
    <row r="7" spans="1:4" x14ac:dyDescent="0.3">
      <c r="A7" s="4" t="s">
        <v>64</v>
      </c>
      <c r="B7" s="11">
        <v>2500000000</v>
      </c>
      <c r="C7" s="5">
        <v>2500000000</v>
      </c>
      <c r="D7" s="5">
        <v>2500000000</v>
      </c>
    </row>
    <row r="8" spans="1:4" x14ac:dyDescent="0.3">
      <c r="A8" s="4" t="s">
        <v>65</v>
      </c>
      <c r="B8" s="11">
        <v>1078000000</v>
      </c>
      <c r="C8" s="5">
        <v>1060000000</v>
      </c>
      <c r="D8" s="5">
        <v>967000000</v>
      </c>
    </row>
    <row r="9" spans="1:4" x14ac:dyDescent="0.3">
      <c r="A9" s="4" t="s">
        <v>66</v>
      </c>
      <c r="B9" s="11">
        <v>889000000</v>
      </c>
      <c r="C9" s="5">
        <v>917000000</v>
      </c>
      <c r="D9" s="5">
        <v>1019000000</v>
      </c>
    </row>
    <row r="11" spans="1:4" x14ac:dyDescent="0.3">
      <c r="A11" s="4" t="s">
        <v>101</v>
      </c>
      <c r="B11" s="14">
        <v>29.08</v>
      </c>
      <c r="C11" s="14">
        <v>56.43</v>
      </c>
      <c r="D11" s="14">
        <v>32.880000000000003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topLeftCell="A21" workbookViewId="0">
      <selection sqref="A1:D39"/>
    </sheetView>
  </sheetViews>
  <sheetFormatPr defaultRowHeight="14.4" x14ac:dyDescent="0.3"/>
  <cols>
    <col min="1" max="1" width="80" customWidth="1"/>
    <col min="2" max="2" width="14" customWidth="1"/>
    <col min="3" max="3" width="16" customWidth="1"/>
    <col min="4" max="4" width="14" customWidth="1"/>
  </cols>
  <sheetData>
    <row r="1" spans="1:4" ht="15" customHeight="1" x14ac:dyDescent="0.3">
      <c r="A1" s="101" t="s">
        <v>69</v>
      </c>
      <c r="B1" s="103" t="s">
        <v>0</v>
      </c>
      <c r="C1" s="103"/>
      <c r="D1" s="103"/>
    </row>
    <row r="2" spans="1:4" x14ac:dyDescent="0.3">
      <c r="A2" s="102"/>
      <c r="B2" s="2" t="s">
        <v>4</v>
      </c>
      <c r="C2" s="2" t="s">
        <v>3</v>
      </c>
      <c r="D2" s="2" t="s">
        <v>1</v>
      </c>
    </row>
    <row r="3" spans="1:4" x14ac:dyDescent="0.3">
      <c r="A3" s="3" t="s">
        <v>70</v>
      </c>
    </row>
    <row r="4" spans="1:4" x14ac:dyDescent="0.3">
      <c r="A4" s="4" t="s">
        <v>19</v>
      </c>
      <c r="B4" s="6">
        <v>1721</v>
      </c>
      <c r="C4" s="6">
        <v>3434</v>
      </c>
      <c r="D4" s="6">
        <v>3313</v>
      </c>
    </row>
    <row r="5" spans="1:4" x14ac:dyDescent="0.3">
      <c r="A5" s="3" t="s">
        <v>71</v>
      </c>
    </row>
    <row r="6" spans="1:4" x14ac:dyDescent="0.3">
      <c r="A6" s="4" t="s">
        <v>72</v>
      </c>
      <c r="B6" s="5">
        <v>389</v>
      </c>
      <c r="C6" s="5">
        <v>407</v>
      </c>
      <c r="D6" s="5">
        <v>457</v>
      </c>
    </row>
    <row r="7" spans="1:4" x14ac:dyDescent="0.3">
      <c r="A7" s="4" t="s">
        <v>73</v>
      </c>
      <c r="B7" s="5">
        <v>21</v>
      </c>
      <c r="C7" s="5">
        <v>-11</v>
      </c>
      <c r="D7" s="5">
        <v>94</v>
      </c>
    </row>
    <row r="8" spans="1:4" x14ac:dyDescent="0.3">
      <c r="A8" s="4" t="s">
        <v>74</v>
      </c>
      <c r="B8" s="5">
        <v>38</v>
      </c>
      <c r="C8" s="5">
        <v>-9</v>
      </c>
      <c r="D8" s="5">
        <v>4</v>
      </c>
    </row>
    <row r="9" spans="1:4" x14ac:dyDescent="0.3">
      <c r="A9" s="4" t="s">
        <v>67</v>
      </c>
      <c r="B9" s="5">
        <v>201</v>
      </c>
      <c r="C9" s="5">
        <v>220</v>
      </c>
      <c r="D9" s="5">
        <v>258</v>
      </c>
    </row>
    <row r="10" spans="1:4" x14ac:dyDescent="0.3">
      <c r="A10" s="3" t="s">
        <v>75</v>
      </c>
    </row>
    <row r="11" spans="1:4" x14ac:dyDescent="0.3">
      <c r="A11" s="4" t="s">
        <v>76</v>
      </c>
      <c r="B11" s="5">
        <v>-542</v>
      </c>
      <c r="C11" s="5">
        <v>-37</v>
      </c>
      <c r="D11" s="5">
        <v>-226</v>
      </c>
    </row>
    <row r="12" spans="1:4" x14ac:dyDescent="0.3">
      <c r="A12" s="4" t="s">
        <v>31</v>
      </c>
      <c r="B12" s="5">
        <v>-216</v>
      </c>
      <c r="C12" s="5">
        <v>-879</v>
      </c>
      <c r="D12" s="5">
        <v>-792</v>
      </c>
    </row>
    <row r="13" spans="1:4" x14ac:dyDescent="0.3">
      <c r="A13" s="4" t="s">
        <v>77</v>
      </c>
      <c r="B13" s="5">
        <v>30</v>
      </c>
      <c r="C13" s="5">
        <v>-157</v>
      </c>
      <c r="D13" s="5">
        <v>-93</v>
      </c>
    </row>
    <row r="14" spans="1:4" x14ac:dyDescent="0.3">
      <c r="A14" s="4" t="s">
        <v>41</v>
      </c>
      <c r="B14" s="5">
        <v>184</v>
      </c>
      <c r="C14" s="5">
        <v>370</v>
      </c>
      <c r="D14" s="5">
        <v>179</v>
      </c>
    </row>
    <row r="15" spans="1:4" x14ac:dyDescent="0.3">
      <c r="A15" s="4" t="s">
        <v>42</v>
      </c>
      <c r="B15" s="5">
        <v>611</v>
      </c>
      <c r="C15" s="5">
        <v>289</v>
      </c>
      <c r="D15" s="5">
        <v>-318</v>
      </c>
    </row>
    <row r="16" spans="1:4" x14ac:dyDescent="0.3">
      <c r="A16" s="4" t="s">
        <v>45</v>
      </c>
      <c r="B16" s="5">
        <v>173</v>
      </c>
      <c r="C16" s="5">
        <v>121</v>
      </c>
      <c r="D16" s="5">
        <v>886</v>
      </c>
    </row>
    <row r="17" spans="1:4" x14ac:dyDescent="0.3">
      <c r="A17" s="4" t="s">
        <v>46</v>
      </c>
      <c r="B17" s="5">
        <v>-44</v>
      </c>
      <c r="C17" s="5">
        <v>41</v>
      </c>
      <c r="D17" s="5">
        <v>25</v>
      </c>
    </row>
    <row r="18" spans="1:4" x14ac:dyDescent="0.3">
      <c r="A18" s="4" t="s">
        <v>78</v>
      </c>
      <c r="B18" s="5">
        <v>2566</v>
      </c>
      <c r="C18" s="5">
        <v>3789</v>
      </c>
      <c r="D18" s="5">
        <v>3787</v>
      </c>
    </row>
    <row r="19" spans="1:4" x14ac:dyDescent="0.3">
      <c r="A19" s="3" t="s">
        <v>79</v>
      </c>
    </row>
    <row r="20" spans="1:4" x14ac:dyDescent="0.3">
      <c r="A20" s="4" t="s">
        <v>80</v>
      </c>
      <c r="B20" s="5">
        <v>-253</v>
      </c>
      <c r="C20" s="5">
        <v>-345</v>
      </c>
      <c r="D20" s="5">
        <v>-622</v>
      </c>
    </row>
    <row r="21" spans="1:4" x14ac:dyDescent="0.3">
      <c r="A21" s="4" t="s">
        <v>81</v>
      </c>
      <c r="B21" s="5">
        <v>-16</v>
      </c>
      <c r="C21" s="5">
        <v>-68</v>
      </c>
      <c r="D21" s="5">
        <v>-6</v>
      </c>
    </row>
    <row r="22" spans="1:4" x14ac:dyDescent="0.3">
      <c r="A22" s="4" t="s">
        <v>82</v>
      </c>
      <c r="B22" s="5">
        <v>1234</v>
      </c>
      <c r="C22" s="5">
        <v>2743</v>
      </c>
      <c r="D22" s="5">
        <v>3276</v>
      </c>
    </row>
    <row r="23" spans="1:4" x14ac:dyDescent="0.3">
      <c r="A23" s="4" t="s">
        <v>83</v>
      </c>
      <c r="B23" s="5">
        <v>-1390</v>
      </c>
      <c r="C23" s="5">
        <v>-4856</v>
      </c>
      <c r="D23" s="5">
        <v>-2077</v>
      </c>
    </row>
    <row r="24" spans="1:4" x14ac:dyDescent="0.3">
      <c r="A24" s="4" t="s">
        <v>84</v>
      </c>
      <c r="B24" s="5">
        <v>-425</v>
      </c>
      <c r="C24" s="5">
        <v>-2526</v>
      </c>
      <c r="D24" s="5">
        <v>571</v>
      </c>
    </row>
    <row r="25" spans="1:4" x14ac:dyDescent="0.3">
      <c r="A25" s="3" t="s">
        <v>85</v>
      </c>
    </row>
    <row r="26" spans="1:4" x14ac:dyDescent="0.3">
      <c r="A26" s="4" t="s">
        <v>86</v>
      </c>
      <c r="B26" s="5">
        <v>0</v>
      </c>
      <c r="C26" s="5">
        <v>2176</v>
      </c>
      <c r="D26" s="5">
        <v>0</v>
      </c>
    </row>
    <row r="27" spans="1:4" x14ac:dyDescent="0.3">
      <c r="A27" s="4" t="s">
        <v>87</v>
      </c>
      <c r="B27" s="5">
        <v>-1207</v>
      </c>
      <c r="C27" s="5">
        <v>-205</v>
      </c>
      <c r="D27" s="5">
        <v>0</v>
      </c>
    </row>
    <row r="28" spans="1:4" x14ac:dyDescent="0.3">
      <c r="A28" s="4" t="s">
        <v>88</v>
      </c>
      <c r="B28" s="5">
        <v>88</v>
      </c>
      <c r="C28" s="5">
        <v>97</v>
      </c>
      <c r="D28" s="5">
        <v>124</v>
      </c>
    </row>
    <row r="29" spans="1:4" x14ac:dyDescent="0.3">
      <c r="A29" s="4" t="s">
        <v>68</v>
      </c>
      <c r="B29" s="5">
        <v>-1892</v>
      </c>
      <c r="C29" s="5">
        <v>-1172</v>
      </c>
      <c r="D29" s="5">
        <v>-5283</v>
      </c>
    </row>
    <row r="30" spans="1:4" x14ac:dyDescent="0.3">
      <c r="A30" s="4" t="s">
        <v>89</v>
      </c>
      <c r="B30" s="5">
        <v>-77</v>
      </c>
      <c r="C30" s="5">
        <v>-125</v>
      </c>
      <c r="D30" s="5">
        <v>-164</v>
      </c>
    </row>
    <row r="31" spans="1:4" x14ac:dyDescent="0.3">
      <c r="A31" s="4" t="s">
        <v>90</v>
      </c>
      <c r="B31" s="5">
        <v>-444</v>
      </c>
      <c r="C31" s="5">
        <v>-430</v>
      </c>
      <c r="D31" s="5">
        <v>-605</v>
      </c>
    </row>
    <row r="32" spans="1:4" x14ac:dyDescent="0.3">
      <c r="A32" s="4" t="s">
        <v>91</v>
      </c>
      <c r="B32" s="5">
        <v>-3532</v>
      </c>
      <c r="C32" s="5">
        <v>341</v>
      </c>
      <c r="D32" s="5">
        <v>-5928</v>
      </c>
    </row>
    <row r="33" spans="1:4" x14ac:dyDescent="0.3">
      <c r="A33" s="4" t="s">
        <v>92</v>
      </c>
      <c r="B33" s="5">
        <v>-1391</v>
      </c>
      <c r="C33" s="5">
        <v>1604</v>
      </c>
      <c r="D33" s="5">
        <v>-1570</v>
      </c>
    </row>
    <row r="34" spans="1:4" x14ac:dyDescent="0.3">
      <c r="A34" s="4" t="s">
        <v>93</v>
      </c>
      <c r="B34" s="5">
        <v>4797</v>
      </c>
      <c r="C34" s="5">
        <v>3406</v>
      </c>
      <c r="D34" s="5">
        <v>5010</v>
      </c>
    </row>
    <row r="35" spans="1:4" x14ac:dyDescent="0.3">
      <c r="A35" s="4" t="s">
        <v>94</v>
      </c>
      <c r="B35" s="5">
        <v>3406</v>
      </c>
      <c r="C35" s="5">
        <v>5010</v>
      </c>
      <c r="D35" s="5">
        <v>3440</v>
      </c>
    </row>
    <row r="36" spans="1:4" x14ac:dyDescent="0.3">
      <c r="A36" s="3" t="s">
        <v>95</v>
      </c>
    </row>
    <row r="37" spans="1:4" x14ac:dyDescent="0.3">
      <c r="A37" s="4" t="s">
        <v>96</v>
      </c>
      <c r="B37" s="5">
        <v>157</v>
      </c>
      <c r="C37" s="5">
        <v>194</v>
      </c>
      <c r="D37" s="5">
        <v>300</v>
      </c>
    </row>
    <row r="38" spans="1:4" x14ac:dyDescent="0.3">
      <c r="A38" s="4" t="s">
        <v>97</v>
      </c>
      <c r="B38" s="5">
        <v>113</v>
      </c>
      <c r="C38" s="5">
        <v>61</v>
      </c>
      <c r="D38" s="5">
        <v>63</v>
      </c>
    </row>
    <row r="39" spans="1:4" x14ac:dyDescent="0.3">
      <c r="A39" s="4" t="s">
        <v>98</v>
      </c>
      <c r="B39" s="6">
        <v>151</v>
      </c>
      <c r="C39" s="6">
        <v>186</v>
      </c>
      <c r="D39" s="6">
        <v>219</v>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Name</vt:lpstr>
      <vt:lpstr>Instructions</vt:lpstr>
      <vt:lpstr>Write-Up</vt:lpstr>
      <vt:lpstr>Percentage of Sales</vt:lpstr>
      <vt:lpstr>Ratios &amp; FCF</vt:lpstr>
      <vt:lpstr>Consolidated Statements of Oper</vt:lpstr>
      <vt:lpstr>Consolidated Balance Sheets</vt:lpstr>
      <vt:lpstr>Consolidated Balance Sheets (Pa</vt:lpstr>
      <vt:lpstr>Consolidated Statements of Cash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Nitish Verma</cp:lastModifiedBy>
  <dcterms:created xsi:type="dcterms:W3CDTF">2018-12-13T16:17:11Z</dcterms:created>
  <dcterms:modified xsi:type="dcterms:W3CDTF">2026-09-21T21:33:47Z</dcterms:modified>
</cp:coreProperties>
</file>